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VPL L-2\AppData\Roaming\Skype\My Skype Received Files\"/>
    </mc:Choice>
  </mc:AlternateContent>
  <bookViews>
    <workbookView xWindow="0" yWindow="0" windowWidth="15330" windowHeight="463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Taxonomy" sheetId="10" state="hidden" r:id="rId5"/>
    <sheet name="Gov Fund St of Rev Exp &amp; Bal" sheetId="5" r:id="rId6"/>
    <sheet name="Prop Fund St of Net Position" sheetId="6" r:id="rId7"/>
    <sheet name="Prop Fund St Rev Exp &amp; Bal" sheetId="7" r:id="rId8"/>
    <sheet name="St of Cash Flow - Prop Funds" sheetId="8" r:id="rId9"/>
  </sheets>
  <functionGroups builtInGroupCount="18"/>
  <definedNames>
    <definedName name="_xlnm._FilterDatabase" localSheetId="4" hidden="1">Taxonomy!$A$1:$E$248</definedName>
  </definedNames>
  <calcPr calcId="152511"/>
</workbook>
</file>

<file path=xl/calcChain.xml><?xml version="1.0" encoding="utf-8"?>
<calcChain xmlns="http://schemas.openxmlformats.org/spreadsheetml/2006/main">
  <c r="R46" i="4" l="1"/>
  <c r="R45" i="4"/>
  <c r="R44" i="4"/>
  <c r="R43" i="4"/>
  <c r="R40" i="4"/>
  <c r="R39" i="4"/>
  <c r="R36" i="4"/>
  <c r="R35" i="4"/>
  <c r="R34" i="4"/>
  <c r="R33" i="4"/>
  <c r="R32" i="4"/>
  <c r="R31" i="4"/>
  <c r="R27" i="4"/>
  <c r="R26" i="4"/>
  <c r="R25" i="4"/>
  <c r="R24" i="4"/>
  <c r="R22" i="4"/>
  <c r="R21" i="4"/>
  <c r="R20" i="4"/>
  <c r="R19" i="4"/>
  <c r="R18" i="4"/>
  <c r="R17" i="4"/>
  <c r="R15" i="4"/>
  <c r="R14" i="4"/>
  <c r="R13" i="4"/>
  <c r="R44" i="5"/>
  <c r="R41" i="5"/>
  <c r="R40" i="5"/>
  <c r="R35" i="5"/>
  <c r="R34" i="5"/>
  <c r="R32" i="5"/>
  <c r="R30" i="5"/>
  <c r="R29" i="5"/>
  <c r="R28" i="5"/>
  <c r="R27" i="5"/>
  <c r="R26" i="5"/>
  <c r="R22" i="5"/>
  <c r="R21" i="5"/>
  <c r="R20" i="5"/>
  <c r="R19" i="5"/>
  <c r="R18" i="5"/>
  <c r="R17" i="5"/>
  <c r="R16" i="5"/>
  <c r="R15" i="5"/>
  <c r="R14" i="5"/>
  <c r="R13" i="5"/>
  <c r="L11" i="5" l="1"/>
  <c r="K11" i="5"/>
  <c r="J11" i="5"/>
  <c r="I34" i="6"/>
  <c r="J34" i="6"/>
  <c r="L34" i="6"/>
  <c r="H34" i="6"/>
  <c r="I32" i="8"/>
  <c r="J32" i="8"/>
  <c r="L32" i="8"/>
  <c r="H32" i="8"/>
  <c r="M47" i="4"/>
  <c r="N47" i="4"/>
  <c r="O47" i="4"/>
  <c r="P47" i="4"/>
  <c r="Q47" i="4"/>
  <c r="Q41" i="4"/>
  <c r="P41" i="4"/>
  <c r="O41" i="4"/>
  <c r="N41" i="4"/>
  <c r="M41" i="4"/>
  <c r="Q37" i="4"/>
  <c r="P37" i="4"/>
  <c r="O37" i="4"/>
  <c r="N37" i="4"/>
  <c r="M37" i="4"/>
  <c r="Q23" i="4"/>
  <c r="Q28" i="4" s="1"/>
  <c r="P23" i="4"/>
  <c r="P28" i="4" s="1"/>
  <c r="O23" i="4"/>
  <c r="O28" i="4" s="1"/>
  <c r="N23" i="4"/>
  <c r="N28" i="4" s="1"/>
  <c r="M23" i="4"/>
  <c r="M28" i="4" s="1"/>
  <c r="L42" i="5"/>
  <c r="M42" i="5"/>
  <c r="N42" i="5"/>
  <c r="O42" i="5"/>
  <c r="P42" i="5"/>
  <c r="Q42" i="5"/>
  <c r="M36" i="5"/>
  <c r="N36" i="5"/>
  <c r="O36" i="5"/>
  <c r="P36" i="5"/>
  <c r="Q36" i="5"/>
  <c r="M31" i="5"/>
  <c r="N31" i="5"/>
  <c r="O31" i="5"/>
  <c r="P31" i="5"/>
  <c r="Q31" i="5"/>
  <c r="Q37" i="5" s="1"/>
  <c r="Q38" i="5" s="1"/>
  <c r="Q43" i="5" s="1"/>
  <c r="Q45" i="5" s="1"/>
  <c r="M23" i="5"/>
  <c r="N23" i="5"/>
  <c r="O23" i="5"/>
  <c r="P23" i="5"/>
  <c r="Q23" i="5"/>
  <c r="N48" i="4" l="1"/>
  <c r="N37" i="5"/>
  <c r="N38" i="5" s="1"/>
  <c r="N43" i="5" s="1"/>
  <c r="N45" i="5" s="1"/>
  <c r="O37" i="5"/>
  <c r="O38" i="5" s="1"/>
  <c r="O43" i="5" s="1"/>
  <c r="O45" i="5" s="1"/>
  <c r="P37" i="5"/>
  <c r="P38" i="5" s="1"/>
  <c r="P43" i="5" s="1"/>
  <c r="P45" i="5" s="1"/>
  <c r="Q48" i="4"/>
  <c r="O48" i="4"/>
  <c r="P48" i="4"/>
  <c r="R42" i="5"/>
  <c r="R31" i="5"/>
  <c r="M37" i="5"/>
  <c r="M38" i="5" s="1"/>
  <c r="M43" i="5" s="1"/>
  <c r="M45" i="5" s="1"/>
  <c r="R41" i="4"/>
  <c r="M48" i="4"/>
  <c r="R37" i="4"/>
  <c r="R23" i="4"/>
  <c r="R47" i="4"/>
  <c r="R36" i="5"/>
  <c r="Q11" i="5"/>
  <c r="O11" i="5"/>
  <c r="N11" i="5"/>
  <c r="P11" i="5"/>
  <c r="I55" i="8"/>
  <c r="I56" i="8" s="1"/>
  <c r="I57" i="8" s="1"/>
  <c r="J55" i="8"/>
  <c r="J56" i="8" s="1"/>
  <c r="J57" i="8" s="1"/>
  <c r="L55" i="8"/>
  <c r="L56" i="8" s="1"/>
  <c r="L57" i="8" s="1"/>
  <c r="K25" i="7"/>
  <c r="K49" i="7"/>
  <c r="K46" i="7"/>
  <c r="N39" i="3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K58" i="6"/>
  <c r="K15" i="6"/>
  <c r="J16" i="2"/>
  <c r="N36" i="3"/>
  <c r="N35" i="3"/>
  <c r="N34" i="3"/>
  <c r="N33" i="3"/>
  <c r="N32" i="3"/>
  <c r="N31" i="3"/>
  <c r="N30" i="3"/>
  <c r="N29" i="3"/>
  <c r="N28" i="3"/>
  <c r="M37" i="3"/>
  <c r="L37" i="3"/>
  <c r="I25" i="3"/>
  <c r="J25" i="3"/>
  <c r="K25" i="3"/>
  <c r="H25" i="3"/>
  <c r="M24" i="3"/>
  <c r="N24" i="3" s="1"/>
  <c r="M23" i="3"/>
  <c r="N23" i="3" s="1"/>
  <c r="M22" i="3"/>
  <c r="N22" i="3" s="1"/>
  <c r="I20" i="3"/>
  <c r="J20" i="3"/>
  <c r="K20" i="3"/>
  <c r="H20" i="3"/>
  <c r="H55" i="8"/>
  <c r="H56" i="8" s="1"/>
  <c r="H57" i="8" s="1"/>
  <c r="K54" i="8"/>
  <c r="K53" i="8"/>
  <c r="K52" i="8"/>
  <c r="K51" i="8"/>
  <c r="K50" i="8"/>
  <c r="K49" i="8"/>
  <c r="K48" i="8"/>
  <c r="K47" i="8"/>
  <c r="K45" i="8"/>
  <c r="K44" i="8"/>
  <c r="K42" i="8"/>
  <c r="K38" i="8"/>
  <c r="K35" i="8"/>
  <c r="K36" i="8" s="1"/>
  <c r="K31" i="8"/>
  <c r="K30" i="8"/>
  <c r="K29" i="8"/>
  <c r="K28" i="8"/>
  <c r="K27" i="8"/>
  <c r="K26" i="8"/>
  <c r="K25" i="8"/>
  <c r="K22" i="8"/>
  <c r="K23" i="8" s="1"/>
  <c r="K19" i="8"/>
  <c r="K18" i="8"/>
  <c r="K17" i="8"/>
  <c r="K16" i="8"/>
  <c r="K15" i="8"/>
  <c r="K14" i="8"/>
  <c r="I20" i="8"/>
  <c r="J20" i="8"/>
  <c r="L20" i="8"/>
  <c r="I23" i="8"/>
  <c r="I33" i="8" s="1"/>
  <c r="J23" i="8"/>
  <c r="J33" i="8" s="1"/>
  <c r="L23" i="8"/>
  <c r="L33" i="8" s="1"/>
  <c r="I36" i="8"/>
  <c r="J36" i="8"/>
  <c r="L36" i="8"/>
  <c r="H36" i="8"/>
  <c r="H23" i="8"/>
  <c r="H33" i="8" s="1"/>
  <c r="H20" i="8"/>
  <c r="K45" i="7"/>
  <c r="K41" i="7"/>
  <c r="K40" i="7"/>
  <c r="K39" i="7"/>
  <c r="K38" i="7"/>
  <c r="K34" i="7"/>
  <c r="K33" i="7"/>
  <c r="K32" i="7"/>
  <c r="K31" i="7"/>
  <c r="K30" i="7"/>
  <c r="K29" i="7"/>
  <c r="K28" i="7"/>
  <c r="K27" i="7"/>
  <c r="K26" i="7"/>
  <c r="K24" i="7"/>
  <c r="K23" i="7"/>
  <c r="K22" i="7"/>
  <c r="K21" i="7"/>
  <c r="K18" i="7"/>
  <c r="K17" i="7"/>
  <c r="K16" i="7"/>
  <c r="K15" i="7"/>
  <c r="K14" i="7"/>
  <c r="I47" i="7"/>
  <c r="J47" i="7"/>
  <c r="L47" i="7"/>
  <c r="H47" i="7"/>
  <c r="I42" i="7"/>
  <c r="J42" i="7"/>
  <c r="L42" i="7"/>
  <c r="H42" i="7"/>
  <c r="I35" i="7"/>
  <c r="J35" i="7"/>
  <c r="L35" i="7"/>
  <c r="H35" i="7"/>
  <c r="I19" i="7"/>
  <c r="J19" i="7"/>
  <c r="L19" i="7"/>
  <c r="H19" i="7"/>
  <c r="L52" i="6"/>
  <c r="L45" i="6"/>
  <c r="L26" i="6"/>
  <c r="L22" i="6"/>
  <c r="K57" i="6"/>
  <c r="K56" i="6"/>
  <c r="K54" i="6"/>
  <c r="K51" i="6"/>
  <c r="K50" i="6"/>
  <c r="K49" i="6"/>
  <c r="K48" i="6"/>
  <c r="K47" i="6"/>
  <c r="K44" i="6"/>
  <c r="K43" i="6"/>
  <c r="K42" i="6"/>
  <c r="K41" i="6"/>
  <c r="K40" i="6"/>
  <c r="K37" i="6"/>
  <c r="K33" i="6"/>
  <c r="K32" i="6"/>
  <c r="K31" i="6"/>
  <c r="K30" i="6"/>
  <c r="K29" i="6"/>
  <c r="K28" i="6"/>
  <c r="K25" i="6"/>
  <c r="K24" i="6"/>
  <c r="K21" i="6"/>
  <c r="K20" i="6"/>
  <c r="K19" i="6"/>
  <c r="K18" i="6"/>
  <c r="K17" i="6"/>
  <c r="K16" i="6"/>
  <c r="I59" i="6"/>
  <c r="J59" i="6"/>
  <c r="H59" i="6"/>
  <c r="I52" i="6"/>
  <c r="J52" i="6"/>
  <c r="H52" i="6"/>
  <c r="I45" i="6"/>
  <c r="J45" i="6"/>
  <c r="H45" i="6"/>
  <c r="I26" i="6"/>
  <c r="J26" i="6"/>
  <c r="H26" i="6"/>
  <c r="I22" i="6"/>
  <c r="J22" i="6"/>
  <c r="H22" i="6"/>
  <c r="I42" i="5"/>
  <c r="J42" i="5"/>
  <c r="K42" i="5"/>
  <c r="H42" i="5"/>
  <c r="I36" i="5"/>
  <c r="J36" i="5"/>
  <c r="K36" i="5"/>
  <c r="L36" i="5"/>
  <c r="H36" i="5"/>
  <c r="I31" i="5"/>
  <c r="J31" i="5"/>
  <c r="K31" i="5"/>
  <c r="L31" i="5"/>
  <c r="H31" i="5"/>
  <c r="I23" i="5"/>
  <c r="J23" i="5"/>
  <c r="K23" i="5"/>
  <c r="L23" i="5"/>
  <c r="H23" i="5"/>
  <c r="I47" i="4"/>
  <c r="J47" i="4"/>
  <c r="K47" i="4"/>
  <c r="L47" i="4"/>
  <c r="H47" i="4"/>
  <c r="I41" i="4"/>
  <c r="J41" i="4"/>
  <c r="K41" i="4"/>
  <c r="L41" i="4"/>
  <c r="H41" i="4"/>
  <c r="I37" i="4"/>
  <c r="J37" i="4"/>
  <c r="K37" i="4"/>
  <c r="L37" i="4"/>
  <c r="H37" i="4"/>
  <c r="I23" i="4"/>
  <c r="I28" i="4" s="1"/>
  <c r="J23" i="4"/>
  <c r="J28" i="4" s="1"/>
  <c r="K23" i="4"/>
  <c r="K28" i="4" s="1"/>
  <c r="L23" i="4"/>
  <c r="L28" i="4" s="1"/>
  <c r="H23" i="4"/>
  <c r="H28" i="4" s="1"/>
  <c r="H20" i="2"/>
  <c r="I59" i="2"/>
  <c r="I61" i="2" s="1"/>
  <c r="H59" i="2"/>
  <c r="H61" i="2" s="1"/>
  <c r="I50" i="2"/>
  <c r="H50" i="2"/>
  <c r="J14" i="2"/>
  <c r="J60" i="2"/>
  <c r="J58" i="2"/>
  <c r="J57" i="2"/>
  <c r="J56" i="2"/>
  <c r="J55" i="2"/>
  <c r="J54" i="2"/>
  <c r="J52" i="2"/>
  <c r="J49" i="2"/>
  <c r="J48" i="2"/>
  <c r="J44" i="2"/>
  <c r="J43" i="2"/>
  <c r="J42" i="2"/>
  <c r="J40" i="2"/>
  <c r="J39" i="2"/>
  <c r="J38" i="2"/>
  <c r="J37" i="2"/>
  <c r="J34" i="2"/>
  <c r="J33" i="2"/>
  <c r="J29" i="2"/>
  <c r="J28" i="2"/>
  <c r="J27" i="2"/>
  <c r="J26" i="2"/>
  <c r="J24" i="2"/>
  <c r="J23" i="2"/>
  <c r="J22" i="2"/>
  <c r="J21" i="2"/>
  <c r="J19" i="2"/>
  <c r="J18" i="2"/>
  <c r="J17" i="2"/>
  <c r="K34" i="6" l="1"/>
  <c r="K32" i="8"/>
  <c r="K33" i="8" s="1"/>
  <c r="L37" i="8"/>
  <c r="L39" i="8" s="1"/>
  <c r="H37" i="8"/>
  <c r="H39" i="8" s="1"/>
  <c r="J37" i="8"/>
  <c r="J39" i="8" s="1"/>
  <c r="I37" i="8"/>
  <c r="I39" i="8" s="1"/>
  <c r="L36" i="7"/>
  <c r="L43" i="7" s="1"/>
  <c r="L48" i="7" s="1"/>
  <c r="L50" i="7" s="1"/>
  <c r="R37" i="5"/>
  <c r="R28" i="4"/>
  <c r="R48" i="4"/>
  <c r="H36" i="7"/>
  <c r="H43" i="7" s="1"/>
  <c r="H48" i="7" s="1"/>
  <c r="H50" i="7" s="1"/>
  <c r="L37" i="5"/>
  <c r="L38" i="5" s="1"/>
  <c r="L43" i="5" s="1"/>
  <c r="L45" i="5" s="1"/>
  <c r="I48" i="4"/>
  <c r="K55" i="8"/>
  <c r="K56" i="8" s="1"/>
  <c r="K57" i="8" s="1"/>
  <c r="L53" i="6"/>
  <c r="J26" i="3"/>
  <c r="I36" i="7"/>
  <c r="I43" i="7" s="1"/>
  <c r="I48" i="7" s="1"/>
  <c r="I50" i="7" s="1"/>
  <c r="K42" i="7"/>
  <c r="K26" i="3"/>
  <c r="I26" i="3"/>
  <c r="K47" i="7"/>
  <c r="K19" i="7"/>
  <c r="L35" i="6"/>
  <c r="L36" i="6" s="1"/>
  <c r="K26" i="6"/>
  <c r="J37" i="5"/>
  <c r="J38" i="5" s="1"/>
  <c r="J43" i="5" s="1"/>
  <c r="J45" i="5" s="1"/>
  <c r="K37" i="5"/>
  <c r="K38" i="5" s="1"/>
  <c r="K43" i="5" s="1"/>
  <c r="K45" i="5" s="1"/>
  <c r="I37" i="5"/>
  <c r="I38" i="5" s="1"/>
  <c r="I43" i="5" s="1"/>
  <c r="I45" i="5" s="1"/>
  <c r="H48" i="4"/>
  <c r="N25" i="3"/>
  <c r="L20" i="3"/>
  <c r="L26" i="3" s="1"/>
  <c r="L38" i="3" s="1"/>
  <c r="L40" i="3" s="1"/>
  <c r="N20" i="3"/>
  <c r="J59" i="2"/>
  <c r="J61" i="2" s="1"/>
  <c r="J50" i="2"/>
  <c r="K22" i="6"/>
  <c r="H26" i="3"/>
  <c r="M25" i="3"/>
  <c r="M26" i="3" s="1"/>
  <c r="M38" i="3" s="1"/>
  <c r="M40" i="3" s="1"/>
  <c r="J36" i="7"/>
  <c r="J43" i="7" s="1"/>
  <c r="J48" i="7" s="1"/>
  <c r="J50" i="7" s="1"/>
  <c r="N37" i="3"/>
  <c r="K20" i="8"/>
  <c r="K35" i="7"/>
  <c r="K59" i="6"/>
  <c r="K61" i="6" s="1"/>
  <c r="J35" i="6"/>
  <c r="J36" i="6" s="1"/>
  <c r="J53" i="6"/>
  <c r="I35" i="6"/>
  <c r="I36" i="6" s="1"/>
  <c r="H53" i="6"/>
  <c r="H35" i="6"/>
  <c r="H36" i="6" s="1"/>
  <c r="I53" i="6"/>
  <c r="K45" i="6"/>
  <c r="K52" i="6"/>
  <c r="H37" i="5"/>
  <c r="L48" i="4"/>
  <c r="J48" i="4"/>
  <c r="K48" i="4"/>
  <c r="K37" i="8" l="1"/>
  <c r="K39" i="8" s="1"/>
  <c r="K35" i="6"/>
  <c r="K36" i="6" s="1"/>
  <c r="K53" i="6"/>
  <c r="K36" i="7"/>
  <c r="K43" i="7" s="1"/>
  <c r="K48" i="7" s="1"/>
  <c r="K50" i="7" s="1"/>
  <c r="H38" i="5"/>
  <c r="H43" i="5" s="1"/>
  <c r="H45" i="5" s="1"/>
  <c r="N26" i="3"/>
  <c r="N38" i="3" s="1"/>
  <c r="N40" i="3" s="1"/>
  <c r="K51" i="7" l="1"/>
  <c r="K53" i="7" s="1"/>
  <c r="I45" i="2" l="1"/>
  <c r="H45" i="2"/>
  <c r="H46" i="2" s="1"/>
  <c r="I35" i="2"/>
  <c r="H35" i="2"/>
  <c r="I30" i="2"/>
  <c r="H30" i="2"/>
  <c r="I20" i="2"/>
  <c r="J20" i="2" s="1"/>
  <c r="J30" i="2" l="1"/>
  <c r="J45" i="2"/>
  <c r="J35" i="2"/>
  <c r="I46" i="2"/>
  <c r="J46" i="2" s="1"/>
  <c r="I31" i="2"/>
  <c r="H31" i="2"/>
  <c r="L59" i="6"/>
  <c r="R23" i="5" l="1"/>
  <c r="R38" i="5" s="1"/>
  <c r="R43" i="5" s="1"/>
  <c r="R45" i="5" s="1"/>
  <c r="J31" i="2"/>
  <c r="M11" i="5"/>
</calcChain>
</file>

<file path=xl/sharedStrings.xml><?xml version="1.0" encoding="utf-8"?>
<sst xmlns="http://schemas.openxmlformats.org/spreadsheetml/2006/main" count="1335" uniqueCount="534">
  <si>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</si>
  <si>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</si>
  <si>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</si>
  <si>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</si>
  <si>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</si>
  <si>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</si>
  <si>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</si>
  <si>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</si>
  <si>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</si>
  <si>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</si>
  <si>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</si>
  <si>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</si>
  <si>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</si>
  <si>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</si>
  <si>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</si>
  <si>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</si>
  <si>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</si>
  <si>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</si>
  <si>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</si>
  <si>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</si>
  <si>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</si>
  <si>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</si>
  <si>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</si>
  <si>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</si>
  <si>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</si>
  <si>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</si>
  <si>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</si>
  <si>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</si>
  <si>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</si>
  <si>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</si>
  <si>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</si>
  <si>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</si>
  <si>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</si>
  <si>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</si>
  <si>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</si>
  <si>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</si>
  <si>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</si>
  <si>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</si>
  <si>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</si>
  <si>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</si>
  <si>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</si>
  <si>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</si>
  <si>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</si>
  <si>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</si>
  <si>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</si>
  <si>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</si>
  <si>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</si>
  <si>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</si>
  <si>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</si>
  <si>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</si>
  <si>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</si>
  <si>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</si>
  <si>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</si>
  <si>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</si>
  <si>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</si>
  <si>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</si>
  <si>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</si>
  <si>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</si>
  <si>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</si>
  <si>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</si>
  <si>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</si>
  <si>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</si>
  <si>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</si>
  <si>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</si>
  <si>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</si>
  <si>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</si>
  <si>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</si>
  <si>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</si>
  <si>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</si>
  <si>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</si>
  <si>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</si>
  <si>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</si>
  <si>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</si>
  <si>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</si>
  <si>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</si>
  <si>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</si>
  <si>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</si>
  <si>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</si>
  <si>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</si>
  <si>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</si>
  <si>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</si>
  <si>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</si>
  <si>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</si>
  <si>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</si>
  <si>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</si>
  <si>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</si>
  <si>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</si>
  <si>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</si>
  <si>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</si>
  <si>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</si>
  <si>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</si>
  <si>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</si>
  <si>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</si>
  <si>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</si>
  <si>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</si>
  <si>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</si>
  <si>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</si>
  <si>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</si>
  <si>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</si>
  <si>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</si>
  <si>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</si>
  <si>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</si>
  <si>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</si>
  <si>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</si>
  <si>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</si>
  <si>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</si>
  <si>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</si>
  <si>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</si>
  <si>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</si>
  <si>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</si>
  <si>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</si>
  <si>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</si>
  <si>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</si>
  <si>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</si>
  <si>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</si>
  <si>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</si>
  <si>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</si>
  <si>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</si>
  <si>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</si>
  <si>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</si>
  <si>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</si>
  <si>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</si>
  <si>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</si>
  <si>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</si>
  <si>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</si>
  <si>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</si>
  <si>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</si>
  <si>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</si>
  <si>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</si>
  <si>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</si>
  <si>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</si>
  <si>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</si>
  <si>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</si>
  <si>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</si>
  <si>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</si>
  <si>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</si>
  <si>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</si>
  <si>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</si>
  <si>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</si>
  <si>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</si>
  <si>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</si>
  <si>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</si>
  <si>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</si>
  <si>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</si>
  <si>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</si>
  <si>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</si>
  <si>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</si>
  <si>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</si>
  <si>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</si>
  <si>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</si>
  <si>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</si>
  <si>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</si>
  <si>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</si>
  <si>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</si>
  <si>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</si>
  <si>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</si>
  <si>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</si>
  <si>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</si>
  <si>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</si>
  <si>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</si>
  <si>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</si>
  <si>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</si>
  <si>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</si>
  <si>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</si>
  <si>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 xml:space="preserve">Transfers out 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</si>
  <si>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</si>
  <si>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</si>
  <si>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</si>
  <si>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</si>
  <si>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</si>
  <si>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</si>
  <si>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</si>
  <si>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</si>
  <si>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</si>
  <si>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</si>
  <si>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</si>
  <si>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</si>
  <si>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</si>
  <si>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</si>
  <si>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</si>
  <si>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</si>
  <si>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</si>
  <si>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</si>
  <si>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</si>
  <si>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</si>
  <si>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</si>
  <si>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</si>
  <si>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</si>
  <si>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</si>
  <si>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</si>
  <si>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</si>
  <si>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</si>
  <si>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</si>
  <si>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</si>
  <si>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</si>
  <si>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</si>
  <si>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</si>
  <si>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</si>
  <si>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</si>
  <si>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</si>
  <si>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</si>
  <si>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(Increase) decrease in assets and increase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</si>
  <si>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</si>
  <si>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</si>
  <si>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</si>
  <si>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</si>
  <si>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</si>
  <si>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</si>
  <si>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</si>
  <si>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</si>
  <si>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</si>
  <si>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</si>
  <si>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</si>
  <si>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</si>
  <si>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</si>
  <si>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</si>
  <si>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</si>
  <si>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</si>
  <si>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</si>
  <si>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</si>
  <si>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</si>
  <si>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</si>
  <si>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</si>
  <si>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</si>
  <si>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</si>
  <si>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</si>
  <si>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</si>
  <si>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</si>
  <si>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</si>
  <si>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</si>
  <si>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</si>
  <si>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</si>
  <si>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</si>
  <si>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</si>
  <si>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</si>
  <si>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</si>
  <si>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</si>
  <si>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</si>
  <si>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</si>
  <si>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</si>
  <si>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</si>
  <si>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</si>
  <si>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</si>
  <si>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</si>
  <si>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</si>
  <si>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</si>
  <si>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</si>
  <si>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</si>
  <si>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</si>
  <si>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</si>
  <si>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</si>
  <si>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</si>
  <si>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</si>
  <si>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</si>
  <si>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</si>
  <si>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</si>
  <si>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</si>
  <si>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</si>
  <si>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</si>
  <si>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</si>
  <si>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</si>
  <si>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</si>
  <si>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</si>
  <si>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</si>
  <si>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</si>
  <si>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</si>
  <si>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</si>
  <si>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</si>
  <si>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</si>
  <si>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</si>
  <si>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</si>
  <si>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</si>
  <si>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</si>
  <si>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</si>
  <si>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</si>
  <si>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</si>
  <si>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</si>
  <si>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</si>
  <si>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</si>
  <si>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</si>
  <si>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</si>
  <si>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</si>
  <si>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</si>
  <si>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</si>
  <si>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</si>
  <si>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</si>
  <si>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</si>
  <si>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</si>
  <si>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</si>
  <si>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</si>
  <si>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</si>
  <si>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</si>
  <si>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</si>
  <si>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</si>
  <si>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</si>
  <si>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</si>
  <si>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</si>
  <si>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</si>
  <si>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</si>
  <si>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</si>
  <si>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</si>
  <si>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</si>
  <si>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</si>
  <si>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</si>
  <si>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</si>
  <si>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</si>
  <si>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</si>
  <si>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</si>
  <si>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</si>
  <si>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</si>
  <si>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</si>
  <si>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</si>
  <si>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</si>
  <si>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</si>
  <si>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</si>
  <si>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</si>
  <si>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</si>
  <si>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</si>
  <si>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</si>
  <si>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</si>
  <si>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</si>
  <si>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</si>
  <si>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</si>
  <si>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</si>
  <si>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</si>
  <si>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</si>
  <si>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</si>
  <si>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</si>
  <si>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</si>
  <si>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</si>
  <si>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</si>
  <si>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</si>
  <si>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</si>
  <si>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</si>
  <si>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</si>
  <si>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</si>
  <si>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</si>
  <si>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</si>
  <si>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</si>
  <si>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</si>
  <si>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</si>
  <si>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</si>
  <si>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</si>
  <si>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</si>
  <si>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</si>
  <si>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</si>
  <si>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</si>
  <si>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</si>
  <si>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</si>
  <si>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</si>
  <si>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</si>
  <si>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</si>
  <si>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</si>
  <si>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</si>
  <si>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</si>
  <si>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</si>
  <si>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</si>
  <si>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</si>
  <si>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</si>
  <si>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</si>
  <si>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</si>
  <si>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</si>
  <si>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</si>
  <si>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</si>
  <si>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</si>
  <si>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</si>
  <si>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</si>
  <si>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</si>
  <si>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</si>
  <si>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</si>
  <si>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</si>
  <si>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</si>
  <si>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</si>
  <si>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</si>
  <si>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</si>
  <si>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</si>
  <si>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</si>
  <si>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</si>
  <si>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</si>
  <si>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</si>
  <si>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</si>
  <si>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</si>
  <si>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</si>
  <si>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</si>
  <si>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</si>
  <si>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</si>
  <si>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</si>
  <si>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</si>
  <si>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</si>
  <si>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</si>
  <si>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</si>
  <si>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</si>
  <si>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</si>
  <si>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</si>
  <si>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</si>
  <si>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</si>
  <si>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</si>
  <si>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</si>
  <si>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</si>
  <si>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</si>
  <si>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</si>
  <si>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</si>
  <si>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</si>
  <si>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</si>
  <si>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</si>
  <si>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</si>
  <si>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</si>
  <si>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</si>
  <si>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</si>
  <si>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</si>
  <si>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</si>
  <si>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</si>
  <si>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</si>
  <si>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</si>
  <si>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</si>
  <si>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</si>
  <si>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</si>
  <si>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</si>
  <si>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</si>
  <si>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</si>
  <si>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</si>
  <si>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</si>
  <si>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</si>
  <si>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</si>
  <si>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</si>
  <si>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</si>
  <si>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</si>
  <si>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</si>
  <si>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</si>
  <si>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</si>
  <si>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</si>
  <si>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</si>
  <si>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</si>
  <si>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</si>
  <si>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</si>
  <si>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</si>
  <si>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</si>
  <si>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</si>
  <si>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</si>
  <si>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</si>
  <si>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</si>
  <si>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</si>
  <si>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</si>
  <si>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</si>
  <si>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</si>
  <si>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</si>
  <si>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</si>
  <si>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</si>
  <si>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</si>
  <si>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</si>
  <si>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</si>
  <si>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</si>
  <si>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</si>
  <si>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</si>
  <si>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</si>
  <si>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</si>
  <si>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</si>
  <si>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</si>
  <si>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</si>
  <si>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</si>
  <si>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</si>
  <si>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</si>
  <si>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</si>
  <si>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</si>
  <si>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</si>
  <si>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</si>
  <si>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</si>
  <si>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</si>
  <si>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</si>
  <si>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</si>
  <si>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</si>
  <si>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</si>
  <si>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</si>
  <si>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</si>
  <si>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</si>
  <si>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</si>
  <si>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</si>
  <si>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</si>
  <si>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</si>
  <si>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</si>
  <si>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</si>
  <si>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</si>
  <si>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</si>
  <si>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</si>
  <si>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</si>
  <si>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</si>
  <si>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</si>
  <si>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</si>
  <si>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</si>
  <si>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</si>
  <si>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</si>
  <si>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</si>
  <si>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</si>
  <si>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</si>
  <si>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</si>
  <si>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</si>
  <si>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</si>
  <si>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</si>
  <si>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</si>
  <si>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</si>
  <si>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</si>
  <si>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</si>
  <si>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</si>
  <si>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</si>
  <si>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</si>
  <si>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</si>
  <si>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</si>
  <si>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</si>
  <si>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</si>
  <si>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</si>
  <si>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</si>
  <si>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</si>
  <si>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</si>
  <si>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</si>
  <si>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</si>
  <si>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</si>
  <si>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</si>
  <si>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</si>
  <si>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</si>
  <si>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</si>
  <si>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</si>
  <si>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</si>
  <si>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</si>
  <si>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</si>
  <si>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 xml:space="preserve">Largo, Florida </t>
  </si>
  <si>
    <t>Total Business Type Activities Enterprise Funds</t>
  </si>
  <si>
    <t>TotalBusinessTypeActivitiesEnterpriseFunds</t>
  </si>
  <si>
    <t>NatureOfGovernmentalFunds</t>
  </si>
  <si>
    <t>Nature Of Governmental Funds</t>
  </si>
  <si>
    <t>September 30, 2017</t>
  </si>
  <si>
    <t>Home</t>
  </si>
  <si>
    <t>Ship</t>
  </si>
  <si>
    <t>CDBG</t>
  </si>
  <si>
    <t>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</si>
</sst>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43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DDC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</cellStyleXfs>
  <cellXfs count="205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8" xfId="0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0" fillId="8" borderId="30" xfId="0" applyNumberFormat="1" applyFill="1" applyBorder="1" applyAlignment="1" applyProtection="1">
      <alignment horizontal="center"/>
      <protection locked="0"/>
    </xf>
    <xf numFmtId="49" fontId="0" fillId="8" borderId="28" xfId="0" applyNumberFormat="1" applyFill="1" applyBorder="1" applyAlignment="1" applyProtection="1">
      <alignment horizontal="center"/>
      <protection locked="0"/>
    </xf>
    <xf numFmtId="0" fontId="6" fillId="0" borderId="28" xfId="0" applyFont="1" applyFill="1" applyBorder="1" applyAlignment="1" applyProtection="1">
      <alignment horizontal="left" vertical="center" indent="2"/>
    </xf>
    <xf numFmtId="0" fontId="6" fillId="0" borderId="29" xfId="0" applyFont="1" applyFill="1" applyBorder="1" applyAlignment="1" applyProtection="1">
      <alignment horizontal="left" vertical="center" wrapText="1" indent="2"/>
    </xf>
    <xf numFmtId="0" fontId="6" fillId="0" borderId="30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0" fontId="0" fillId="11" borderId="0" xfId="0" applyFill="1"/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4" xfId="4" applyNumberFormat="1" applyFont="1" applyFill="1" applyBorder="1" applyProtection="1">
      <protection hidden="1"/>
    </xf>
    <xf numFmtId="41" fontId="0" fillId="8" borderId="18" xfId="4" applyNumberFormat="1" applyFont="1" applyFill="1" applyBorder="1" applyProtection="1">
      <protection locked="0"/>
    </xf>
    <xf numFmtId="41" fontId="0" fillId="8" borderId="15" xfId="4" applyNumberFormat="1" applyFont="1" applyFill="1" applyBorder="1" applyProtection="1">
      <protection hidden="1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0" fillId="8" borderId="21" xfId="4" applyNumberFormat="1" applyFont="1" applyFill="1" applyBorder="1" applyProtection="1">
      <protection hidden="1"/>
    </xf>
    <xf numFmtId="41" fontId="0" fillId="8" borderId="14" xfId="4" applyNumberFormat="1" applyFont="1" applyFill="1" applyBorder="1"/>
    <xf numFmtId="41" fontId="0" fillId="8" borderId="15" xfId="4" applyNumberFormat="1" applyFont="1" applyFill="1" applyBorder="1"/>
    <xf numFmtId="41" fontId="0" fillId="8" borderId="16" xfId="4" applyNumberFormat="1" applyFont="1" applyFill="1" applyBorder="1"/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7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7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locked="0"/>
    </xf>
    <xf numFmtId="41" fontId="0" fillId="12" borderId="15" xfId="0" applyNumberFormat="1" applyFill="1" applyBorder="1" applyProtection="1">
      <protection hidden="1"/>
    </xf>
    <xf numFmtId="41" fontId="0" fillId="12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0" fillId="0" borderId="8" xfId="0" applyNumberFormat="1" applyFill="1" applyBorder="1" applyAlignment="1" applyProtection="1">
      <alignment horizontal="left" indent="2"/>
      <protection hidden="1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6" fillId="0" borderId="16" xfId="0" applyNumberFormat="1" applyFont="1" applyBorder="1" applyAlignment="1" applyProtection="1">
      <alignment horizontal="left" indent="2"/>
      <protection hidden="1"/>
    </xf>
    <xf numFmtId="41" fontId="0" fillId="12" borderId="16" xfId="0" applyNumberFormat="1" applyFill="1" applyBorder="1" applyProtection="1">
      <protection locked="0"/>
    </xf>
    <xf numFmtId="41" fontId="0" fillId="12" borderId="16" xfId="0" applyNumberFormat="1" applyFill="1" applyBorder="1" applyProtection="1">
      <protection hidden="1"/>
    </xf>
    <xf numFmtId="41" fontId="0" fillId="12" borderId="27" xfId="0" applyNumberFormat="1" applyFill="1" applyBorder="1" applyProtection="1">
      <protection locked="0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2" borderId="2" xfId="0" applyFont="1" applyFill="1" applyBorder="1" applyAlignment="1" applyProtection="1">
      <alignment vertical="center" wrapText="1"/>
      <protection hidden="1"/>
    </xf>
    <xf numFmtId="0" fontId="4" fillId="2" borderId="1" xfId="0" applyFont="1" applyFill="1" applyBorder="1" applyAlignment="1" applyProtection="1">
      <alignment vertical="center" wrapText="1"/>
      <protection hidden="1"/>
    </xf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15" fontId="4" fillId="2" borderId="1" xfId="0" applyNumberFormat="1" applyFont="1" applyFill="1" applyBorder="1" applyAlignment="1" applyProtection="1">
      <alignment vertical="center" wrapText="1"/>
      <protection hidden="1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0" fontId="9" fillId="10" borderId="0" xfId="0" applyFont="1" applyFill="1" applyAlignment="1">
      <alignment horizontal="center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1" fillId="0" borderId="2" xfId="0" applyNumberFormat="1" applyFont="1" applyBorder="1" applyAlignment="1" applyProtection="1">
      <alignment vertical="center"/>
      <protection hidden="1"/>
    </xf>
    <xf numFmtId="41" fontId="1" fillId="0" borderId="1" xfId="0" applyNumberFormat="1" applyFont="1" applyBorder="1" applyAlignment="1" applyProtection="1">
      <alignment vertical="center"/>
      <protection hidden="1"/>
    </xf>
    <xf numFmtId="41" fontId="1" fillId="0" borderId="3" xfId="0" applyNumberFormat="1" applyFont="1" applyBorder="1" applyAlignment="1" applyProtection="1">
      <alignment vertical="center"/>
      <protection hidden="1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4" fillId="3" borderId="2" xfId="2" applyNumberFormat="1" applyFont="1" applyFill="1" applyBorder="1" applyAlignment="1" applyProtection="1">
      <alignment horizontal="left" wrapText="1"/>
      <protection hidden="1"/>
    </xf>
    <xf numFmtId="41" fontId="4" fillId="3" borderId="1" xfId="2" applyNumberFormat="1" applyFont="1" applyFill="1" applyBorder="1" applyAlignment="1" applyProtection="1">
      <alignment horizontal="lef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4" borderId="3" xfId="0" applyNumberFormat="1" applyFont="1" applyFill="1" applyBorder="1" applyAlignment="1" applyProtection="1">
      <alignment horizontal="center" vertical="center" wrapText="1"/>
      <protection hidden="1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abSelected="1" topLeftCell="B7" workbookViewId="0">
      <selection activeCell="B8" sqref="B8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248</v>
      </c>
      <c r="L1" s="51" t="s">
        <v>252</v>
      </c>
      <c r="M1" s="51" t="s">
        <v>251</v>
      </c>
      <c r="N1" s="51" t="s">
        <v>249</v>
      </c>
      <c r="O1" s="51" t="s">
        <v>253</v>
      </c>
      <c r="P1" s="51" t="s">
        <v>254</v>
      </c>
      <c r="Q1" s="51" t="s">
        <v>255</v>
      </c>
      <c r="R1" s="51" t="s">
        <v>256</v>
      </c>
      <c r="S1" s="51" t="s">
        <v>257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55" t="s">
        <v>246</v>
      </c>
      <c r="E8" s="156"/>
      <c r="F8" s="156"/>
      <c r="G8" s="157"/>
    </row>
    <row r="9" spans="4:41" ht="20.100000000000001" customHeight="1">
      <c r="D9" s="48" t="s">
        <v>461</v>
      </c>
      <c r="E9" s="44" t="s">
        <v>524</v>
      </c>
      <c r="F9" s="158"/>
      <c r="G9" s="158"/>
    </row>
    <row r="10" spans="4:41" ht="20.100000000000001" customHeight="1">
      <c r="D10" s="49" t="s">
        <v>247</v>
      </c>
      <c r="E10" s="45">
        <v>10</v>
      </c>
      <c r="F10" s="47" t="s">
        <v>248</v>
      </c>
      <c r="G10" s="47">
        <v>2016</v>
      </c>
    </row>
    <row r="11" spans="4:41" ht="20.100000000000001" customHeight="1">
      <c r="D11" s="50" t="s">
        <v>250</v>
      </c>
      <c r="E11" s="46" t="s">
        <v>257</v>
      </c>
      <c r="F11" s="46">
        <v>30</v>
      </c>
      <c r="G11" s="46">
        <v>2017</v>
      </c>
    </row>
    <row r="12" spans="4:41"/>
  </sheetData>
  <sheetProtection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ignoredErrors>
    <ignoredError sqref="F10:G10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L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1.710937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65" t="s">
        <v>239</v>
      </c>
      <c r="H10" s="166"/>
      <c r="I10" s="167"/>
      <c r="J10" s="152" t="s">
        <v>529</v>
      </c>
      <c r="K10" s="1"/>
      <c r="L10" s="1"/>
    </row>
    <row r="11" spans="7:12" ht="24.75" customHeight="1">
      <c r="G11" s="168" t="s">
        <v>3</v>
      </c>
      <c r="H11" s="165" t="s">
        <v>0</v>
      </c>
      <c r="I11" s="166"/>
      <c r="J11" s="167"/>
    </row>
    <row r="12" spans="7:12" ht="30">
      <c r="G12" s="169"/>
      <c r="H12" s="19" t="s">
        <v>1</v>
      </c>
      <c r="I12" s="19" t="s">
        <v>106</v>
      </c>
      <c r="J12" s="20" t="s">
        <v>2</v>
      </c>
    </row>
    <row r="13" spans="7:12">
      <c r="G13" s="4" t="s">
        <v>4</v>
      </c>
      <c r="H13" s="170"/>
      <c r="I13" s="171"/>
      <c r="J13" s="172"/>
    </row>
    <row r="14" spans="7:12">
      <c r="G14" s="14" t="s">
        <v>5</v>
      </c>
      <c r="H14" s="56">
        <v>51396489</v>
      </c>
      <c r="I14" s="56">
        <v>23937470</v>
      </c>
      <c r="J14" s="56">
        <f>IF(COUNT(H14:I14),SUM(H14:I14),"")</f>
        <v>75333959</v>
      </c>
    </row>
    <row r="15" spans="7:12">
      <c r="G15" s="5" t="s">
        <v>6</v>
      </c>
      <c r="H15" s="162"/>
      <c r="I15" s="163"/>
      <c r="J15" s="164"/>
    </row>
    <row r="16" spans="7:12" ht="15.75">
      <c r="G16" s="21" t="s">
        <v>7</v>
      </c>
      <c r="H16" s="57">
        <v>1747750</v>
      </c>
      <c r="I16" s="57">
        <v>0</v>
      </c>
      <c r="J16" s="58">
        <f t="shared" ref="J16:J60" si="0">IF(COUNT(H16:I16),SUM(H16:I16),"")</f>
        <v>1747750</v>
      </c>
    </row>
    <row r="17" spans="7:10" ht="15.75">
      <c r="G17" s="22" t="s">
        <v>8</v>
      </c>
      <c r="H17" s="59">
        <v>381208</v>
      </c>
      <c r="I17" s="59">
        <v>422911</v>
      </c>
      <c r="J17" s="60">
        <f t="shared" si="0"/>
        <v>804119</v>
      </c>
    </row>
    <row r="18" spans="7:10" ht="15.75">
      <c r="G18" s="22" t="s">
        <v>9</v>
      </c>
      <c r="H18" s="59">
        <v>1379284</v>
      </c>
      <c r="I18" s="59">
        <v>5443035</v>
      </c>
      <c r="J18" s="60">
        <f t="shared" si="0"/>
        <v>6822319</v>
      </c>
    </row>
    <row r="19" spans="7:10" ht="15.75">
      <c r="G19" s="23" t="s">
        <v>10</v>
      </c>
      <c r="H19" s="61">
        <v>2397833</v>
      </c>
      <c r="I19" s="61">
        <v>0</v>
      </c>
      <c r="J19" s="62">
        <f t="shared" si="0"/>
        <v>2397833</v>
      </c>
    </row>
    <row r="20" spans="7:10">
      <c r="G20" s="3" t="s">
        <v>11</v>
      </c>
      <c r="H20" s="55">
        <f>IF(COUNT(H16:H19),SUM(H16:H19),"")</f>
        <v>5906075</v>
      </c>
      <c r="I20" s="55">
        <f t="shared" ref="I20" si="1">IF(COUNT(I16:I19),SUM(I16:I19),"")</f>
        <v>5865946</v>
      </c>
      <c r="J20" s="55">
        <f t="shared" si="0"/>
        <v>11772021</v>
      </c>
    </row>
    <row r="21" spans="7:10">
      <c r="G21" s="24" t="s">
        <v>12</v>
      </c>
      <c r="H21" s="57">
        <v>663133</v>
      </c>
      <c r="I21" s="57">
        <v>652494</v>
      </c>
      <c r="J21" s="58">
        <f t="shared" si="0"/>
        <v>1315627</v>
      </c>
    </row>
    <row r="22" spans="7:10">
      <c r="G22" s="25" t="s">
        <v>13</v>
      </c>
      <c r="H22" s="59">
        <v>0</v>
      </c>
      <c r="I22" s="59">
        <v>8923251</v>
      </c>
      <c r="J22" s="60">
        <f t="shared" si="0"/>
        <v>8923251</v>
      </c>
    </row>
    <row r="23" spans="7:10">
      <c r="G23" s="25" t="s">
        <v>14</v>
      </c>
      <c r="H23" s="59">
        <v>1029060</v>
      </c>
      <c r="I23" s="59">
        <v>0</v>
      </c>
      <c r="J23" s="60">
        <f t="shared" si="0"/>
        <v>1029060</v>
      </c>
    </row>
    <row r="24" spans="7:10">
      <c r="G24" s="26" t="s">
        <v>15</v>
      </c>
      <c r="H24" s="61">
        <v>12137699</v>
      </c>
      <c r="I24" s="61">
        <v>0</v>
      </c>
      <c r="J24" s="62">
        <f t="shared" si="0"/>
        <v>12137699</v>
      </c>
    </row>
    <row r="25" spans="7:10">
      <c r="G25" s="5" t="s">
        <v>16</v>
      </c>
      <c r="H25" s="162"/>
      <c r="I25" s="163"/>
      <c r="J25" s="164"/>
    </row>
    <row r="26" spans="7:10" ht="15.75">
      <c r="G26" s="21" t="s">
        <v>17</v>
      </c>
      <c r="H26" s="57">
        <v>27350542</v>
      </c>
      <c r="I26" s="57">
        <v>2824038</v>
      </c>
      <c r="J26" s="58">
        <f t="shared" si="0"/>
        <v>30174580</v>
      </c>
    </row>
    <row r="27" spans="7:10" ht="15.75">
      <c r="G27" s="22" t="s">
        <v>18</v>
      </c>
      <c r="H27" s="59">
        <v>85372960</v>
      </c>
      <c r="I27" s="59">
        <v>35168882</v>
      </c>
      <c r="J27" s="60">
        <f t="shared" si="0"/>
        <v>120541842</v>
      </c>
    </row>
    <row r="28" spans="7:10" ht="15.75">
      <c r="G28" s="22" t="s">
        <v>19</v>
      </c>
      <c r="H28" s="59">
        <v>13118717</v>
      </c>
      <c r="I28" s="59">
        <v>9340173</v>
      </c>
      <c r="J28" s="60">
        <f t="shared" si="0"/>
        <v>22458890</v>
      </c>
    </row>
    <row r="29" spans="7:10" ht="15.75">
      <c r="G29" s="23" t="s">
        <v>20</v>
      </c>
      <c r="H29" s="61">
        <v>10375576</v>
      </c>
      <c r="I29" s="61">
        <v>76050472</v>
      </c>
      <c r="J29" s="62">
        <f t="shared" si="0"/>
        <v>86426048</v>
      </c>
    </row>
    <row r="30" spans="7:10">
      <c r="G30" s="3" t="s">
        <v>22</v>
      </c>
      <c r="H30" s="70">
        <f>IF(COUNT(H26:H29),SUM(H26:H29),"")</f>
        <v>136217795</v>
      </c>
      <c r="I30" s="70">
        <f t="shared" ref="I30" si="2">IF(COUNT(I26:I29),SUM(I26:I29),"")</f>
        <v>123383565</v>
      </c>
      <c r="J30" s="70">
        <f t="shared" si="0"/>
        <v>259601360</v>
      </c>
    </row>
    <row r="31" spans="7:10">
      <c r="G31" s="3" t="s">
        <v>21</v>
      </c>
      <c r="H31" s="70">
        <f>IF(COUNT(H14,H20,H21:H24,H30),SUM(H14,H20,H21:H24,H30),"")</f>
        <v>207350251</v>
      </c>
      <c r="I31" s="70">
        <f t="shared" ref="I31" si="3">IF(COUNT(I14,I20,I21:I24,I30),SUM(I14,I20,I21:I24,I30),"")</f>
        <v>162762726</v>
      </c>
      <c r="J31" s="70">
        <f t="shared" si="0"/>
        <v>370112977</v>
      </c>
    </row>
    <row r="32" spans="7:10">
      <c r="G32" s="4" t="s">
        <v>23</v>
      </c>
      <c r="H32" s="162"/>
      <c r="I32" s="163"/>
      <c r="J32" s="164"/>
    </row>
    <row r="33" spans="7:10" ht="15.75">
      <c r="G33" s="21" t="s">
        <v>478</v>
      </c>
      <c r="H33" s="57">
        <v>4647952</v>
      </c>
      <c r="I33" s="57">
        <v>0</v>
      </c>
      <c r="J33" s="58">
        <f t="shared" si="0"/>
        <v>4647952</v>
      </c>
    </row>
    <row r="34" spans="7:10" ht="15.75">
      <c r="G34" s="23" t="s">
        <v>24</v>
      </c>
      <c r="H34" s="61">
        <v>6911380</v>
      </c>
      <c r="I34" s="61">
        <v>0</v>
      </c>
      <c r="J34" s="62">
        <f t="shared" si="0"/>
        <v>6911380</v>
      </c>
    </row>
    <row r="35" spans="7:10">
      <c r="G35" s="3" t="s">
        <v>25</v>
      </c>
      <c r="H35" s="70">
        <f>IF(COUNT(H33:H34),SUM(H33:H34),"")</f>
        <v>11559332</v>
      </c>
      <c r="I35" s="70">
        <f t="shared" ref="I35" si="4">IF(COUNT(I33:I34),SUM(I33:I34),"")</f>
        <v>0</v>
      </c>
      <c r="J35" s="70">
        <f t="shared" si="0"/>
        <v>11559332</v>
      </c>
    </row>
    <row r="36" spans="7:10">
      <c r="G36" s="4" t="s">
        <v>26</v>
      </c>
      <c r="H36" s="162"/>
      <c r="I36" s="163"/>
      <c r="J36" s="164"/>
    </row>
    <row r="37" spans="7:10">
      <c r="G37" s="27" t="s">
        <v>27</v>
      </c>
      <c r="H37" s="57">
        <v>2125246</v>
      </c>
      <c r="I37" s="57">
        <v>10955460</v>
      </c>
      <c r="J37" s="58">
        <f t="shared" si="0"/>
        <v>13080706</v>
      </c>
    </row>
    <row r="38" spans="7:10">
      <c r="G38" s="28" t="s">
        <v>28</v>
      </c>
      <c r="H38" s="59">
        <v>1255466</v>
      </c>
      <c r="I38" s="59">
        <v>183144</v>
      </c>
      <c r="J38" s="60">
        <f t="shared" si="0"/>
        <v>1438610</v>
      </c>
    </row>
    <row r="39" spans="7:10">
      <c r="G39" s="28" t="s">
        <v>29</v>
      </c>
      <c r="H39" s="59">
        <v>446696</v>
      </c>
      <c r="I39" s="59">
        <v>427848</v>
      </c>
      <c r="J39" s="60">
        <f t="shared" si="0"/>
        <v>874544</v>
      </c>
    </row>
    <row r="40" spans="7:10">
      <c r="G40" s="29" t="s">
        <v>30</v>
      </c>
      <c r="H40" s="61">
        <v>6783230</v>
      </c>
      <c r="I40" s="61">
        <v>111979</v>
      </c>
      <c r="J40" s="62">
        <f t="shared" si="0"/>
        <v>6895209</v>
      </c>
    </row>
    <row r="41" spans="7:10">
      <c r="G41" s="5" t="s">
        <v>35</v>
      </c>
      <c r="H41" s="159"/>
      <c r="I41" s="160"/>
      <c r="J41" s="161"/>
    </row>
    <row r="42" spans="7:10">
      <c r="G42" s="34" t="s">
        <v>31</v>
      </c>
      <c r="H42" s="57">
        <v>5330183</v>
      </c>
      <c r="I42" s="57">
        <v>1454705</v>
      </c>
      <c r="J42" s="58">
        <f t="shared" si="0"/>
        <v>6784888</v>
      </c>
    </row>
    <row r="43" spans="7:10">
      <c r="G43" s="35" t="s">
        <v>32</v>
      </c>
      <c r="H43" s="59">
        <v>15687141</v>
      </c>
      <c r="I43" s="59">
        <v>24092545</v>
      </c>
      <c r="J43" s="60">
        <f t="shared" si="0"/>
        <v>39779686</v>
      </c>
    </row>
    <row r="44" spans="7:10">
      <c r="G44" s="36" t="s">
        <v>33</v>
      </c>
      <c r="H44" s="61">
        <v>39601614</v>
      </c>
      <c r="I44" s="61">
        <v>0</v>
      </c>
      <c r="J44" s="62">
        <f t="shared" si="0"/>
        <v>39601614</v>
      </c>
    </row>
    <row r="45" spans="7:10">
      <c r="G45" s="3" t="s">
        <v>34</v>
      </c>
      <c r="H45" s="70">
        <f>IF(COUNT(H42:H44),SUM(H42:H44),"")</f>
        <v>60618938</v>
      </c>
      <c r="I45" s="70">
        <f t="shared" ref="I45" si="5">IF(COUNT(I42:I44),SUM(I42:I44),"")</f>
        <v>25547250</v>
      </c>
      <c r="J45" s="70">
        <f t="shared" si="0"/>
        <v>86166188</v>
      </c>
    </row>
    <row r="46" spans="7:10">
      <c r="G46" s="3" t="s">
        <v>36</v>
      </c>
      <c r="H46" s="70">
        <f>IF(COUNT(H37:H40,H45),SUM(H37:H40,H45),"")</f>
        <v>71229576</v>
      </c>
      <c r="I46" s="70">
        <f t="shared" ref="I46" si="6">IF(COUNT(I37:I40,I45),SUM(I37:I40,I45),"")</f>
        <v>37225681</v>
      </c>
      <c r="J46" s="70">
        <f t="shared" si="0"/>
        <v>108455257</v>
      </c>
    </row>
    <row r="47" spans="7:10">
      <c r="G47" s="4" t="s">
        <v>37</v>
      </c>
      <c r="H47" s="159"/>
      <c r="I47" s="160"/>
      <c r="J47" s="161"/>
    </row>
    <row r="48" spans="7:10">
      <c r="G48" s="14" t="s">
        <v>38</v>
      </c>
      <c r="H48" s="63">
        <v>365151</v>
      </c>
      <c r="I48" s="63">
        <v>0</v>
      </c>
      <c r="J48" s="64">
        <f t="shared" si="0"/>
        <v>365151</v>
      </c>
    </row>
    <row r="49" spans="7:10">
      <c r="G49" s="33" t="s">
        <v>39</v>
      </c>
      <c r="H49" s="65">
        <v>1635327</v>
      </c>
      <c r="I49" s="65">
        <v>0</v>
      </c>
      <c r="J49" s="66">
        <f t="shared" si="0"/>
        <v>1635327</v>
      </c>
    </row>
    <row r="50" spans="7:10">
      <c r="G50" s="3" t="s">
        <v>40</v>
      </c>
      <c r="H50" s="70">
        <f>IF(COUNT(H48:H49),SUM(H48:H49),"")</f>
        <v>2000478</v>
      </c>
      <c r="I50" s="70">
        <f t="shared" ref="I50:J50" si="7">IF(COUNT(I48:I49),SUM(I48:I49),"")</f>
        <v>0</v>
      </c>
      <c r="J50" s="70">
        <f t="shared" si="7"/>
        <v>2000478</v>
      </c>
    </row>
    <row r="51" spans="7:10">
      <c r="G51" s="4" t="s">
        <v>41</v>
      </c>
      <c r="H51" s="159"/>
      <c r="I51" s="160"/>
      <c r="J51" s="161"/>
    </row>
    <row r="52" spans="7:10">
      <c r="G52" s="14" t="s">
        <v>42</v>
      </c>
      <c r="H52" s="63">
        <v>124368745</v>
      </c>
      <c r="I52" s="63">
        <v>99028748</v>
      </c>
      <c r="J52" s="64">
        <f t="shared" si="0"/>
        <v>223397493</v>
      </c>
    </row>
    <row r="53" spans="7:10">
      <c r="G53" s="5" t="s">
        <v>43</v>
      </c>
      <c r="H53" s="159"/>
      <c r="I53" s="160"/>
      <c r="J53" s="161"/>
    </row>
    <row r="54" spans="7:10">
      <c r="G54" s="30" t="s">
        <v>232</v>
      </c>
      <c r="H54" s="57">
        <v>0</v>
      </c>
      <c r="I54" s="57">
        <v>8991951</v>
      </c>
      <c r="J54" s="67">
        <f t="shared" si="0"/>
        <v>8991951</v>
      </c>
    </row>
    <row r="55" spans="7:10">
      <c r="G55" s="31" t="s">
        <v>44</v>
      </c>
      <c r="H55" s="59">
        <v>10099755</v>
      </c>
      <c r="I55" s="59">
        <v>0</v>
      </c>
      <c r="J55" s="68">
        <f t="shared" si="0"/>
        <v>10099755</v>
      </c>
    </row>
    <row r="56" spans="7:10">
      <c r="G56" s="31" t="s">
        <v>45</v>
      </c>
      <c r="H56" s="59">
        <v>14038810</v>
      </c>
      <c r="I56" s="59">
        <v>0</v>
      </c>
      <c r="J56" s="68">
        <f t="shared" si="0"/>
        <v>14038810</v>
      </c>
    </row>
    <row r="57" spans="7:10">
      <c r="G57" s="31" t="s">
        <v>46</v>
      </c>
      <c r="H57" s="59">
        <v>13761779</v>
      </c>
      <c r="I57" s="59">
        <v>0</v>
      </c>
      <c r="J57" s="68">
        <f t="shared" si="0"/>
        <v>13761779</v>
      </c>
    </row>
    <row r="58" spans="7:10">
      <c r="G58" s="32" t="s">
        <v>479</v>
      </c>
      <c r="H58" s="61">
        <v>3882851</v>
      </c>
      <c r="I58" s="61">
        <v>0</v>
      </c>
      <c r="J58" s="69">
        <f t="shared" si="0"/>
        <v>3882851</v>
      </c>
    </row>
    <row r="59" spans="7:10">
      <c r="G59" s="3" t="s">
        <v>47</v>
      </c>
      <c r="H59" s="70">
        <f>IF(COUNT(H54:H58),SUM(H54:H58),"")</f>
        <v>41783195</v>
      </c>
      <c r="I59" s="70">
        <f t="shared" ref="I59:J59" si="8">IF(COUNT(I54:I58),SUM(I54:I58),"")</f>
        <v>8991951</v>
      </c>
      <c r="J59" s="70">
        <f t="shared" si="8"/>
        <v>50775146</v>
      </c>
    </row>
    <row r="60" spans="7:10">
      <c r="G60" s="15" t="s">
        <v>48</v>
      </c>
      <c r="H60" s="63">
        <v>-20472411</v>
      </c>
      <c r="I60" s="63">
        <v>17516346</v>
      </c>
      <c r="J60" s="64">
        <f t="shared" si="0"/>
        <v>-2956065</v>
      </c>
    </row>
    <row r="61" spans="7:10">
      <c r="G61" s="3" t="s">
        <v>49</v>
      </c>
      <c r="H61" s="70">
        <f>IF(COUNT(H52,H59,H60),SUM(H52,H59,H60),"")</f>
        <v>145679529</v>
      </c>
      <c r="I61" s="70">
        <f t="shared" ref="I61:J61" si="9">IF(COUNT(I52,I59,I60),SUM(I52,I59,I60),"")</f>
        <v>125537045</v>
      </c>
      <c r="J61" s="70">
        <f t="shared" si="9"/>
        <v>271216574</v>
      </c>
    </row>
    <row r="62" spans="7:10"/>
  </sheetData>
  <sheetProtection algorithmName="SHA-512" hashValue="nR5r52qRkxjRcN3PsQBVaunETTMl0i/FSvlFcxOE4FoYHXsE7HQQ9YBgD59gVqKtQwgHSX7mtS7PvQOGhWmyKw==" saltValue="hakxkb0ygrQAwrHYIGghcw==" spinCount="100000" sheet="1" objects="1" scenarios="1"/>
  <mergeCells count="12">
    <mergeCell ref="G10:I10"/>
    <mergeCell ref="G11:G12"/>
    <mergeCell ref="H13:J13"/>
    <mergeCell ref="H15:J15"/>
    <mergeCell ref="H11:J11"/>
    <mergeCell ref="H53:J53"/>
    <mergeCell ref="H25:J25"/>
    <mergeCell ref="H32:J32"/>
    <mergeCell ref="H36:J36"/>
    <mergeCell ref="H41:J41"/>
    <mergeCell ref="H47:J47"/>
    <mergeCell ref="H51:J5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4">
      <formula1>-1.11111111111111E+37</formula1>
      <formula2>1.11111111111111E+37</formula2>
    </dataValidation>
    <dataValidation type="whole" allowBlank="1" showInputMessage="1" showErrorMessage="1" sqref="H26:I29">
      <formula1>-1.11111111111111E+41</formula1>
      <formula2>1.11111111111111E+37</formula2>
    </dataValidation>
    <dataValidation type="whole" allowBlank="1" showInputMessage="1" showErrorMessage="1" sqref="H33:I34">
      <formula1>-1.11111111111111E+47</formula1>
      <formula2>1.11111111111111E+77</formula2>
    </dataValidation>
    <dataValidation type="whole" allowBlank="1" showInputMessage="1" showErrorMessage="1" sqref="H42:I44 H48:I49 H52:I52 H54:I58 H60:I60 H37:I40">
      <formula1>-1.11111111111111E+55</formula1>
      <formula2>1.11111111111111E+60</formula2>
    </dataValidation>
    <dataValidation type="whole" allowBlank="1" showInputMessage="1" showErrorMessage="1" sqref="J14 J33:J34 J42:J44 J26:J29 J37:J40 J60 J52 J48:J49 J54:J58 J16:J19 J21:J24">
      <formula1>-1.11111111111111E+37</formula1>
      <formula2>1.11111111111111E+41</formula2>
    </dataValidation>
    <dataValidation type="whole" allowBlank="1" showInputMessage="1" showErrorMessage="1" sqref="H61:J61 H20:J20 H50:J50 H45:J46 H30:J31 H35:J35 H59:J59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5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41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29.5703125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65" t="s">
        <v>240</v>
      </c>
      <c r="H10" s="166"/>
      <c r="I10" s="166"/>
      <c r="J10" s="166"/>
      <c r="K10" s="166"/>
      <c r="L10" s="166"/>
      <c r="M10" s="167"/>
      <c r="N10" s="153" t="s">
        <v>529</v>
      </c>
    </row>
    <row r="11" spans="7:14" ht="24" customHeight="1">
      <c r="G11" s="168" t="s">
        <v>213</v>
      </c>
      <c r="H11" s="173" t="s">
        <v>207</v>
      </c>
      <c r="I11" s="174"/>
      <c r="J11" s="174"/>
      <c r="K11" s="174"/>
      <c r="L11" s="173" t="s">
        <v>208</v>
      </c>
      <c r="M11" s="174"/>
      <c r="N11" s="175"/>
    </row>
    <row r="12" spans="7:14" ht="45">
      <c r="G12" s="169"/>
      <c r="H12" s="2" t="s">
        <v>209</v>
      </c>
      <c r="I12" s="2" t="s">
        <v>210</v>
      </c>
      <c r="J12" s="2" t="s">
        <v>211</v>
      </c>
      <c r="K12" s="2" t="s">
        <v>212</v>
      </c>
      <c r="L12" s="2" t="s">
        <v>237</v>
      </c>
      <c r="M12" s="2" t="s">
        <v>107</v>
      </c>
      <c r="N12" s="6" t="s">
        <v>214</v>
      </c>
    </row>
    <row r="13" spans="7:14" ht="20.100000000000001" customHeight="1">
      <c r="G13" s="5" t="s">
        <v>238</v>
      </c>
      <c r="H13" s="170"/>
      <c r="I13" s="171"/>
      <c r="J13" s="171"/>
      <c r="K13" s="171"/>
      <c r="L13" s="171"/>
      <c r="M13" s="171"/>
      <c r="N13" s="172"/>
    </row>
    <row r="14" spans="7:14">
      <c r="G14" s="37" t="s">
        <v>88</v>
      </c>
      <c r="H14" s="72">
        <v>7567336</v>
      </c>
      <c r="I14" s="72">
        <v>3171795</v>
      </c>
      <c r="J14" s="72">
        <v>289139</v>
      </c>
      <c r="K14" s="72">
        <v>0</v>
      </c>
      <c r="L14" s="109">
        <f>IF(COUNT(H14:K14),SUM(I14:K14)-SUM(H14),"")</f>
        <v>-4106402</v>
      </c>
      <c r="M14" s="182"/>
      <c r="N14" s="109">
        <f>IF(COUNT(L14),SUM(L14),"")</f>
        <v>-4106402</v>
      </c>
    </row>
    <row r="15" spans="7:14">
      <c r="G15" s="35" t="s">
        <v>89</v>
      </c>
      <c r="H15" s="73">
        <v>39662709</v>
      </c>
      <c r="I15" s="73">
        <v>9056839</v>
      </c>
      <c r="J15" s="73">
        <v>1444169</v>
      </c>
      <c r="K15" s="73">
        <v>0</v>
      </c>
      <c r="L15" s="111">
        <f t="shared" ref="L15:L19" si="0">IF(COUNT(H15:K15),SUM(I15:K15)-SUM(H15),"")</f>
        <v>-29161701</v>
      </c>
      <c r="M15" s="182"/>
      <c r="N15" s="111">
        <f>IF(COUNT(L15),SUM(L15),"")</f>
        <v>-29161701</v>
      </c>
    </row>
    <row r="16" spans="7:14">
      <c r="G16" s="35" t="s">
        <v>90</v>
      </c>
      <c r="H16" s="73">
        <v>8804690</v>
      </c>
      <c r="I16" s="73">
        <v>5869272</v>
      </c>
      <c r="J16" s="73">
        <v>0</v>
      </c>
      <c r="K16" s="73">
        <v>298983</v>
      </c>
      <c r="L16" s="111">
        <f t="shared" si="0"/>
        <v>-2636435</v>
      </c>
      <c r="M16" s="182"/>
      <c r="N16" s="111">
        <f t="shared" ref="N16:N19" si="1">IF(COUNT(L16),SUM(L16),"")</f>
        <v>-2636435</v>
      </c>
    </row>
    <row r="17" spans="7:14">
      <c r="G17" s="35" t="s">
        <v>45</v>
      </c>
      <c r="H17" s="73">
        <v>5510541</v>
      </c>
      <c r="I17" s="73">
        <v>2921342</v>
      </c>
      <c r="J17" s="73">
        <v>805607</v>
      </c>
      <c r="K17" s="73">
        <v>269070</v>
      </c>
      <c r="L17" s="111">
        <f t="shared" si="0"/>
        <v>-1514522</v>
      </c>
      <c r="M17" s="182"/>
      <c r="N17" s="111">
        <f t="shared" si="1"/>
        <v>-1514522</v>
      </c>
    </row>
    <row r="18" spans="7:14">
      <c r="G18" s="35" t="s">
        <v>91</v>
      </c>
      <c r="H18" s="73">
        <v>15912375</v>
      </c>
      <c r="I18" s="73">
        <v>4641734</v>
      </c>
      <c r="J18" s="73">
        <v>277655</v>
      </c>
      <c r="K18" s="73">
        <v>1019212</v>
      </c>
      <c r="L18" s="111">
        <f t="shared" si="0"/>
        <v>-9973774</v>
      </c>
      <c r="M18" s="182"/>
      <c r="N18" s="111">
        <f t="shared" si="1"/>
        <v>-9973774</v>
      </c>
    </row>
    <row r="19" spans="7:14">
      <c r="G19" s="16" t="s">
        <v>215</v>
      </c>
      <c r="H19" s="75">
        <v>298360</v>
      </c>
      <c r="I19" s="75">
        <v>0</v>
      </c>
      <c r="J19" s="75">
        <v>0</v>
      </c>
      <c r="K19" s="75">
        <v>0</v>
      </c>
      <c r="L19" s="113">
        <f t="shared" si="0"/>
        <v>-298360</v>
      </c>
      <c r="M19" s="182"/>
      <c r="N19" s="113">
        <f t="shared" si="1"/>
        <v>-298360</v>
      </c>
    </row>
    <row r="20" spans="7:14" ht="20.100000000000001" customHeight="1">
      <c r="G20" s="3" t="s">
        <v>216</v>
      </c>
      <c r="H20" s="80">
        <f>IF(COUNT(H14:H19),SUM(H14:H19),"")</f>
        <v>77756011</v>
      </c>
      <c r="I20" s="80">
        <f t="shared" ref="I20:N20" si="2">IF(COUNT(I14:I19),SUM(I14:I19),"")</f>
        <v>25660982</v>
      </c>
      <c r="J20" s="80">
        <f t="shared" si="2"/>
        <v>2816570</v>
      </c>
      <c r="K20" s="80">
        <f t="shared" si="2"/>
        <v>1587265</v>
      </c>
      <c r="L20" s="80">
        <f t="shared" si="2"/>
        <v>-47691194</v>
      </c>
      <c r="M20" s="183"/>
      <c r="N20" s="81">
        <f t="shared" si="2"/>
        <v>-47691194</v>
      </c>
    </row>
    <row r="21" spans="7:14" ht="20.100000000000001" customHeight="1">
      <c r="G21" s="5" t="s">
        <v>106</v>
      </c>
      <c r="H21" s="176"/>
      <c r="I21" s="177"/>
      <c r="J21" s="177"/>
      <c r="K21" s="177"/>
      <c r="L21" s="177"/>
      <c r="M21" s="177"/>
      <c r="N21" s="178"/>
    </row>
    <row r="22" spans="7:14">
      <c r="G22" s="34" t="s">
        <v>232</v>
      </c>
      <c r="H22" s="72">
        <v>19111555</v>
      </c>
      <c r="I22" s="72">
        <v>22630960</v>
      </c>
      <c r="J22" s="72">
        <v>0</v>
      </c>
      <c r="K22" s="72">
        <v>535320</v>
      </c>
      <c r="L22" s="179"/>
      <c r="M22" s="109">
        <f>+IF(COUNT(H22:K22),SUM(I22:K22)-SUM(H22),"")</f>
        <v>4054725</v>
      </c>
      <c r="N22" s="109">
        <f>IF(COUNT(M22),SUM(M22),"")</f>
        <v>4054725</v>
      </c>
    </row>
    <row r="23" spans="7:14">
      <c r="G23" s="35" t="s">
        <v>217</v>
      </c>
      <c r="H23" s="73">
        <v>10541666</v>
      </c>
      <c r="I23" s="73">
        <v>10773481</v>
      </c>
      <c r="J23" s="73">
        <v>60092</v>
      </c>
      <c r="K23" s="73">
        <v>0</v>
      </c>
      <c r="L23" s="180"/>
      <c r="M23" s="111">
        <f t="shared" ref="M23:M24" si="3">+IF(COUNT(H23:K23),SUM(I23:K23)-SUM(H23),"")</f>
        <v>291907</v>
      </c>
      <c r="N23" s="111">
        <f t="shared" ref="N23:N24" si="4">IF(COUNT(M23),SUM(M23),"")</f>
        <v>291907</v>
      </c>
    </row>
    <row r="24" spans="7:14">
      <c r="G24" s="36" t="s">
        <v>218</v>
      </c>
      <c r="H24" s="75">
        <v>1012156</v>
      </c>
      <c r="I24" s="75">
        <v>863114</v>
      </c>
      <c r="J24" s="75">
        <v>50</v>
      </c>
      <c r="K24" s="75">
        <v>0</v>
      </c>
      <c r="L24" s="180"/>
      <c r="M24" s="113">
        <f t="shared" si="3"/>
        <v>-148992</v>
      </c>
      <c r="N24" s="113">
        <f t="shared" si="4"/>
        <v>-148992</v>
      </c>
    </row>
    <row r="25" spans="7:14" ht="20.100000000000001" customHeight="1">
      <c r="G25" s="10" t="s">
        <v>107</v>
      </c>
      <c r="H25" s="80">
        <f>IF(COUNT(H22:H24),SUM(H22:H24),"")</f>
        <v>30665377</v>
      </c>
      <c r="I25" s="80">
        <f t="shared" ref="I25:K25" si="5">IF(COUNT(I22:I24),SUM(I22:I24),"")</f>
        <v>34267555</v>
      </c>
      <c r="J25" s="80">
        <f t="shared" si="5"/>
        <v>60142</v>
      </c>
      <c r="K25" s="80">
        <f t="shared" si="5"/>
        <v>535320</v>
      </c>
      <c r="L25" s="181"/>
      <c r="M25" s="80">
        <f t="shared" ref="M25" si="6">IF(COUNT(M22:M24),SUM(M22:M24),"")</f>
        <v>4197640</v>
      </c>
      <c r="N25" s="80">
        <f t="shared" ref="N25" si="7">IF(COUNT(N22:N24),SUM(N22:N24),"")</f>
        <v>4197640</v>
      </c>
    </row>
    <row r="26" spans="7:14" ht="20.100000000000001" customHeight="1">
      <c r="G26" s="3" t="s">
        <v>219</v>
      </c>
      <c r="H26" s="80">
        <f>IF(COUNT(H20,H25),SUM(H20,H25),"")</f>
        <v>108421388</v>
      </c>
      <c r="I26" s="80">
        <f t="shared" ref="I26:K26" si="8">IF(COUNT(I20,I25),SUM(I20,I25),"")</f>
        <v>59928537</v>
      </c>
      <c r="J26" s="80">
        <f t="shared" si="8"/>
        <v>2876712</v>
      </c>
      <c r="K26" s="80">
        <f t="shared" si="8"/>
        <v>2122585</v>
      </c>
      <c r="L26" s="80">
        <f>IF(COUNT(L20),SUM(L20),"")</f>
        <v>-47691194</v>
      </c>
      <c r="M26" s="80">
        <f>IF(COUNT(M25),SUM(M25),"")</f>
        <v>4197640</v>
      </c>
      <c r="N26" s="80">
        <f t="shared" ref="N26" si="9">IF(COUNT(N20,N25),SUM(N20,N25),"")</f>
        <v>-43493554</v>
      </c>
    </row>
    <row r="27" spans="7:14" ht="20.100000000000001" customHeight="1">
      <c r="H27" s="82"/>
      <c r="I27" s="82"/>
      <c r="J27" s="82"/>
      <c r="K27" s="83" t="s">
        <v>220</v>
      </c>
      <c r="L27" s="163"/>
      <c r="M27" s="163"/>
      <c r="N27" s="164"/>
    </row>
    <row r="28" spans="7:14">
      <c r="H28" s="82"/>
      <c r="I28" s="82"/>
      <c r="J28" s="82"/>
      <c r="K28" s="84" t="s">
        <v>221</v>
      </c>
      <c r="L28" s="85">
        <v>19325651</v>
      </c>
      <c r="M28" s="72">
        <v>0</v>
      </c>
      <c r="N28" s="77">
        <f>IF(COUNT(L28:M28),SUM(L28:M28),"")</f>
        <v>19325651</v>
      </c>
    </row>
    <row r="29" spans="7:14">
      <c r="H29" s="82"/>
      <c r="I29" s="82"/>
      <c r="J29" s="82"/>
      <c r="K29" s="84" t="s">
        <v>222</v>
      </c>
      <c r="L29" s="86">
        <v>8382118</v>
      </c>
      <c r="M29" s="73">
        <v>0</v>
      </c>
      <c r="N29" s="74">
        <f t="shared" ref="N29:N36" si="10">IF(COUNT(L29:M29),SUM(L29:M29),"")</f>
        <v>8382118</v>
      </c>
    </row>
    <row r="30" spans="7:14">
      <c r="H30" s="82"/>
      <c r="I30" s="82"/>
      <c r="J30" s="82"/>
      <c r="K30" s="84" t="s">
        <v>223</v>
      </c>
      <c r="L30" s="86">
        <v>8065995</v>
      </c>
      <c r="M30" s="73">
        <v>0</v>
      </c>
      <c r="N30" s="74">
        <f t="shared" si="10"/>
        <v>8065995</v>
      </c>
    </row>
    <row r="31" spans="7:14">
      <c r="H31" s="82"/>
      <c r="I31" s="82"/>
      <c r="J31" s="82"/>
      <c r="K31" s="84" t="s">
        <v>224</v>
      </c>
      <c r="L31" s="86">
        <v>2914045</v>
      </c>
      <c r="M31" s="73">
        <v>0</v>
      </c>
      <c r="N31" s="74">
        <f t="shared" si="10"/>
        <v>2914045</v>
      </c>
    </row>
    <row r="32" spans="7:14">
      <c r="H32" s="82"/>
      <c r="I32" s="82"/>
      <c r="J32" s="82"/>
      <c r="K32" s="84" t="s">
        <v>225</v>
      </c>
      <c r="L32" s="86">
        <v>5747939</v>
      </c>
      <c r="M32" s="73">
        <v>0</v>
      </c>
      <c r="N32" s="74">
        <f t="shared" si="10"/>
        <v>5747939</v>
      </c>
    </row>
    <row r="33" spans="8:14">
      <c r="H33" s="82"/>
      <c r="I33" s="82"/>
      <c r="J33" s="82"/>
      <c r="K33" s="84" t="s">
        <v>226</v>
      </c>
      <c r="L33" s="86">
        <v>8168519</v>
      </c>
      <c r="M33" s="73">
        <v>0</v>
      </c>
      <c r="N33" s="74">
        <f t="shared" si="10"/>
        <v>8168519</v>
      </c>
    </row>
    <row r="34" spans="8:14">
      <c r="H34" s="82"/>
      <c r="I34" s="82"/>
      <c r="J34" s="82"/>
      <c r="K34" s="84" t="s">
        <v>84</v>
      </c>
      <c r="L34" s="86">
        <v>463111</v>
      </c>
      <c r="M34" s="73">
        <v>495636</v>
      </c>
      <c r="N34" s="74">
        <f t="shared" si="10"/>
        <v>958747</v>
      </c>
    </row>
    <row r="35" spans="8:14">
      <c r="H35" s="82"/>
      <c r="I35" s="82"/>
      <c r="J35" s="82"/>
      <c r="K35" s="84" t="s">
        <v>227</v>
      </c>
      <c r="L35" s="86">
        <v>972559</v>
      </c>
      <c r="M35" s="73">
        <v>427214</v>
      </c>
      <c r="N35" s="74">
        <f t="shared" si="10"/>
        <v>1399773</v>
      </c>
    </row>
    <row r="36" spans="8:14">
      <c r="H36" s="82"/>
      <c r="I36" s="82"/>
      <c r="J36" s="82"/>
      <c r="K36" s="84" t="s">
        <v>228</v>
      </c>
      <c r="L36" s="87">
        <v>45000</v>
      </c>
      <c r="M36" s="75">
        <v>-45000</v>
      </c>
      <c r="N36" s="76">
        <f t="shared" si="10"/>
        <v>0</v>
      </c>
    </row>
    <row r="37" spans="8:14" ht="20.100000000000001" customHeight="1">
      <c r="H37" s="82"/>
      <c r="I37" s="82"/>
      <c r="J37" s="82"/>
      <c r="K37" s="88" t="s">
        <v>229</v>
      </c>
      <c r="L37" s="89">
        <f>IF(COUNT(L28:L36),SUM(L28:L36),"")</f>
        <v>54084937</v>
      </c>
      <c r="M37" s="90">
        <f t="shared" ref="M37:N37" si="11">IF(COUNT(M28:M36),SUM(M28:M36),"")</f>
        <v>877850</v>
      </c>
      <c r="N37" s="90">
        <f t="shared" si="11"/>
        <v>54962787</v>
      </c>
    </row>
    <row r="38" spans="8:14" ht="20.100000000000001" customHeight="1">
      <c r="H38" s="82"/>
      <c r="I38" s="82"/>
      <c r="J38" s="82"/>
      <c r="K38" s="88" t="s">
        <v>167</v>
      </c>
      <c r="L38" s="90">
        <f>IF(COUNT(L26,L37),SUM(L26,L37),"")</f>
        <v>6393743</v>
      </c>
      <c r="M38" s="90">
        <f t="shared" ref="M38:N38" si="12">IF(COUNT(M26,M37),SUM(M26,M37),"")</f>
        <v>5075490</v>
      </c>
      <c r="N38" s="90">
        <f t="shared" si="12"/>
        <v>11469233</v>
      </c>
    </row>
    <row r="39" spans="8:14" ht="15" customHeight="1">
      <c r="H39" s="82"/>
      <c r="I39" s="82"/>
      <c r="J39" s="82"/>
      <c r="K39" s="84" t="s">
        <v>230</v>
      </c>
      <c r="L39" s="91">
        <v>139285786</v>
      </c>
      <c r="M39" s="91">
        <v>120461555</v>
      </c>
      <c r="N39" s="94">
        <f t="shared" ref="N39" si="13">IF(COUNT(L39:M39),SUM(L39:M39),"")</f>
        <v>259747341</v>
      </c>
    </row>
    <row r="40" spans="8:14" ht="20.100000000000001" customHeight="1">
      <c r="H40" s="82"/>
      <c r="I40" s="82"/>
      <c r="J40" s="82"/>
      <c r="K40" s="88" t="s">
        <v>231</v>
      </c>
      <c r="L40" s="90">
        <f>IF(COUNT(L38:L39),SUM(L38:L39),"")</f>
        <v>145679529</v>
      </c>
      <c r="M40" s="90">
        <f t="shared" ref="M40:N40" si="14">IF(COUNT(M38:M39),SUM(M38:M39),"")</f>
        <v>125537045</v>
      </c>
      <c r="N40" s="90">
        <f t="shared" si="14"/>
        <v>271216574</v>
      </c>
    </row>
    <row r="41" spans="8:14"/>
  </sheetData>
  <sheetProtection algorithmName="SHA-512" hashValue="g3irkbTfZLBWFQsE6fvXG7w/8Dc+rV/VcGDlLYuKlDrdFEakWp8KzD6g3rc56Eh9kiA8eGH5AB5OrsiuFfknxg==" saltValue="7B1VtILFU/31u0vPqBr7Wg==" spinCount="100000" sheet="1" objects="1" scenarios="1"/>
  <mergeCells count="9">
    <mergeCell ref="G10:M10"/>
    <mergeCell ref="G11:G12"/>
    <mergeCell ref="L27:N27"/>
    <mergeCell ref="H11:K11"/>
    <mergeCell ref="L11:N11"/>
    <mergeCell ref="H21:N21"/>
    <mergeCell ref="H13:N13"/>
    <mergeCell ref="L22:L25"/>
    <mergeCell ref="M14:M20"/>
  </mergeCells>
  <dataValidations count="1">
    <dataValidation type="whole" allowBlank="1" showInputMessage="1" showErrorMessage="1" sqref="L26 H14:L20 H22:K26 N14:N20 L28:N40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49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9" customWidth="1"/>
    <col min="18" max="18" width="19" style="79" bestFit="1" customWidth="1"/>
    <col min="19" max="19" width="10.570312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48" t="s">
        <v>241</v>
      </c>
      <c r="H10" s="149"/>
      <c r="I10" s="149"/>
      <c r="J10" s="149"/>
      <c r="K10" s="149"/>
      <c r="L10" s="149"/>
      <c r="M10" s="149"/>
      <c r="N10" s="151"/>
      <c r="O10" s="149"/>
      <c r="P10" s="149"/>
      <c r="Q10" s="149"/>
      <c r="R10" s="153" t="s">
        <v>529</v>
      </c>
    </row>
    <row r="11" spans="7:18" ht="44.25" customHeight="1">
      <c r="G11" s="8" t="s">
        <v>3</v>
      </c>
      <c r="H11" s="145" t="s">
        <v>50</v>
      </c>
      <c r="I11" s="145" t="s">
        <v>51</v>
      </c>
      <c r="J11" s="150" t="s">
        <v>531</v>
      </c>
      <c r="K11" s="150" t="s">
        <v>530</v>
      </c>
      <c r="L11" s="150" t="s">
        <v>532</v>
      </c>
      <c r="M11" s="150" t="s">
        <v>533</v>
      </c>
      <c r="N11" s="144"/>
      <c r="O11" s="144"/>
      <c r="P11" s="144"/>
      <c r="Q11" s="144"/>
      <c r="R11" s="8" t="s">
        <v>52</v>
      </c>
    </row>
    <row r="12" spans="7:18">
      <c r="G12" s="4" t="s">
        <v>4</v>
      </c>
      <c r="H12" s="141"/>
      <c r="I12" s="142"/>
      <c r="J12" s="142"/>
      <c r="K12" s="142"/>
      <c r="L12" s="142"/>
      <c r="M12" s="142"/>
      <c r="N12" s="142"/>
      <c r="O12" s="142"/>
      <c r="P12" s="142"/>
      <c r="Q12" s="142"/>
      <c r="R12" s="143"/>
    </row>
    <row r="13" spans="7:18">
      <c r="G13" s="27" t="s">
        <v>475</v>
      </c>
      <c r="H13" s="71">
        <v>12539000</v>
      </c>
      <c r="I13" s="72">
        <v>8675629</v>
      </c>
      <c r="J13" s="72">
        <v>584526</v>
      </c>
      <c r="K13" s="72">
        <v>13625</v>
      </c>
      <c r="L13" s="72">
        <v>0</v>
      </c>
      <c r="M13" s="71">
        <v>23988406</v>
      </c>
      <c r="N13" s="72"/>
      <c r="O13" s="72"/>
      <c r="P13" s="72"/>
      <c r="Q13" s="72"/>
      <c r="R13" s="77">
        <f>IF(COUNT(H13:Q13),SUM(H13:Q13),"")</f>
        <v>45801186</v>
      </c>
    </row>
    <row r="14" spans="7:18">
      <c r="G14" s="28" t="s">
        <v>477</v>
      </c>
      <c r="H14" s="73">
        <v>1747750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/>
      <c r="O14" s="73"/>
      <c r="P14" s="73"/>
      <c r="Q14" s="73"/>
      <c r="R14" s="74">
        <f t="shared" ref="R14:R15" si="0">IF(COUNT(H14:Q14),SUM(H14:Q14),"")</f>
        <v>1747750</v>
      </c>
    </row>
    <row r="15" spans="7:18">
      <c r="G15" s="29" t="s">
        <v>53</v>
      </c>
      <c r="H15" s="75">
        <v>94616</v>
      </c>
      <c r="I15" s="75">
        <v>55509</v>
      </c>
      <c r="J15" s="75">
        <v>4496</v>
      </c>
      <c r="K15" s="75">
        <v>0</v>
      </c>
      <c r="L15" s="75">
        <v>0</v>
      </c>
      <c r="M15" s="75">
        <v>186743</v>
      </c>
      <c r="N15" s="75"/>
      <c r="O15" s="75"/>
      <c r="P15" s="75"/>
      <c r="Q15" s="75"/>
      <c r="R15" s="76">
        <f t="shared" si="0"/>
        <v>341364</v>
      </c>
    </row>
    <row r="16" spans="7:18">
      <c r="G16" s="5" t="s">
        <v>6</v>
      </c>
      <c r="H16" s="135"/>
      <c r="I16" s="136"/>
      <c r="J16" s="136"/>
      <c r="K16" s="136"/>
      <c r="L16" s="136"/>
      <c r="M16" s="136"/>
      <c r="N16" s="136"/>
      <c r="O16" s="136"/>
      <c r="P16" s="136"/>
      <c r="Q16" s="136"/>
      <c r="R16" s="137"/>
    </row>
    <row r="17" spans="7:18">
      <c r="G17" s="30" t="s">
        <v>54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530366</v>
      </c>
      <c r="N17" s="72"/>
      <c r="O17" s="72"/>
      <c r="P17" s="72"/>
      <c r="Q17" s="72"/>
      <c r="R17" s="77">
        <f t="shared" ref="R17:R22" si="1">IF(COUNT(H17:Q17),SUM(H17:Q17),"")</f>
        <v>530366</v>
      </c>
    </row>
    <row r="18" spans="7:18">
      <c r="G18" s="31" t="s">
        <v>55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445545</v>
      </c>
      <c r="N18" s="73"/>
      <c r="O18" s="73"/>
      <c r="P18" s="73"/>
      <c r="Q18" s="73"/>
      <c r="R18" s="74">
        <f t="shared" si="1"/>
        <v>445545</v>
      </c>
    </row>
    <row r="19" spans="7:18">
      <c r="G19" s="31" t="s">
        <v>56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14604</v>
      </c>
      <c r="N19" s="73"/>
      <c r="O19" s="73"/>
      <c r="P19" s="73"/>
      <c r="Q19" s="73"/>
      <c r="R19" s="74">
        <f t="shared" si="1"/>
        <v>14604</v>
      </c>
    </row>
    <row r="20" spans="7:18">
      <c r="G20" s="31" t="s">
        <v>57</v>
      </c>
      <c r="H20" s="73">
        <v>594607</v>
      </c>
      <c r="I20" s="73">
        <v>1237253</v>
      </c>
      <c r="J20" s="73">
        <v>0</v>
      </c>
      <c r="K20" s="73">
        <v>0</v>
      </c>
      <c r="L20" s="73">
        <v>0</v>
      </c>
      <c r="M20" s="73">
        <v>83396</v>
      </c>
      <c r="N20" s="73"/>
      <c r="O20" s="73"/>
      <c r="P20" s="73"/>
      <c r="Q20" s="73"/>
      <c r="R20" s="74">
        <f t="shared" si="1"/>
        <v>1915256</v>
      </c>
    </row>
    <row r="21" spans="7:18">
      <c r="G21" s="31" t="s">
        <v>58</v>
      </c>
      <c r="H21" s="73">
        <v>119512</v>
      </c>
      <c r="I21" s="73">
        <v>0</v>
      </c>
      <c r="J21" s="73">
        <v>0</v>
      </c>
      <c r="K21" s="73">
        <v>131271</v>
      </c>
      <c r="L21" s="73">
        <v>173811</v>
      </c>
      <c r="M21" s="73">
        <v>29300</v>
      </c>
      <c r="N21" s="73"/>
      <c r="O21" s="73"/>
      <c r="P21" s="73"/>
      <c r="Q21" s="73"/>
      <c r="R21" s="74">
        <f t="shared" si="1"/>
        <v>453894</v>
      </c>
    </row>
    <row r="22" spans="7:18">
      <c r="G22" s="32" t="s">
        <v>59</v>
      </c>
      <c r="H22" s="75">
        <v>102521</v>
      </c>
      <c r="I22" s="75">
        <v>1975</v>
      </c>
      <c r="J22" s="75">
        <v>27388</v>
      </c>
      <c r="K22" s="75">
        <v>499</v>
      </c>
      <c r="L22" s="75">
        <v>2749</v>
      </c>
      <c r="M22" s="75">
        <v>3914</v>
      </c>
      <c r="N22" s="75"/>
      <c r="O22" s="75"/>
      <c r="P22" s="75"/>
      <c r="Q22" s="75"/>
      <c r="R22" s="76">
        <f t="shared" si="1"/>
        <v>139046</v>
      </c>
    </row>
    <row r="23" spans="7:18">
      <c r="G23" s="3" t="s">
        <v>483</v>
      </c>
      <c r="H23" s="78">
        <f>IF(COUNT(H17:H22),SUM(H17:H22),"")</f>
        <v>816640</v>
      </c>
      <c r="I23" s="78">
        <f t="shared" ref="I23:R23" si="2">IF(COUNT(I17:I22),SUM(I17:I22),"")</f>
        <v>1239228</v>
      </c>
      <c r="J23" s="78">
        <f t="shared" si="2"/>
        <v>27388</v>
      </c>
      <c r="K23" s="78">
        <f t="shared" si="2"/>
        <v>131770</v>
      </c>
      <c r="L23" s="78">
        <f t="shared" si="2"/>
        <v>176560</v>
      </c>
      <c r="M23" s="78">
        <f t="shared" si="2"/>
        <v>1107125</v>
      </c>
      <c r="N23" s="78" t="str">
        <f t="shared" si="2"/>
        <v/>
      </c>
      <c r="O23" s="78" t="str">
        <f t="shared" si="2"/>
        <v/>
      </c>
      <c r="P23" s="78" t="str">
        <f t="shared" si="2"/>
        <v/>
      </c>
      <c r="Q23" s="78" t="str">
        <f t="shared" si="2"/>
        <v/>
      </c>
      <c r="R23" s="78">
        <f t="shared" si="2"/>
        <v>3498711</v>
      </c>
    </row>
    <row r="24" spans="7:18">
      <c r="G24" s="30" t="s">
        <v>60</v>
      </c>
      <c r="H24" s="72">
        <v>142345</v>
      </c>
      <c r="I24" s="72">
        <v>343000</v>
      </c>
      <c r="J24" s="72">
        <v>0</v>
      </c>
      <c r="K24" s="72">
        <v>0</v>
      </c>
      <c r="L24" s="72">
        <v>0</v>
      </c>
      <c r="M24" s="72">
        <v>189000</v>
      </c>
      <c r="N24" s="72"/>
      <c r="O24" s="72"/>
      <c r="P24" s="72"/>
      <c r="Q24" s="72"/>
      <c r="R24" s="77">
        <f t="shared" ref="R24:R27" si="3">IF(COUNT(H24:Q24),SUM(H24:Q24),"")</f>
        <v>674345</v>
      </c>
    </row>
    <row r="25" spans="7:18">
      <c r="G25" s="31" t="s">
        <v>61</v>
      </c>
      <c r="H25" s="73">
        <v>0</v>
      </c>
      <c r="I25" s="73">
        <v>0</v>
      </c>
      <c r="J25" s="73">
        <v>0</v>
      </c>
      <c r="K25" s="73">
        <v>0</v>
      </c>
      <c r="L25" s="73">
        <v>0</v>
      </c>
      <c r="M25" s="73">
        <v>829060</v>
      </c>
      <c r="N25" s="73"/>
      <c r="O25" s="73"/>
      <c r="P25" s="73"/>
      <c r="Q25" s="73"/>
      <c r="R25" s="74">
        <f t="shared" si="3"/>
        <v>829060</v>
      </c>
    </row>
    <row r="26" spans="7:18">
      <c r="G26" s="31" t="s">
        <v>485</v>
      </c>
      <c r="H26" s="73">
        <v>104925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/>
      <c r="O26" s="73"/>
      <c r="P26" s="73"/>
      <c r="Q26" s="73"/>
      <c r="R26" s="74">
        <f t="shared" si="3"/>
        <v>104925</v>
      </c>
    </row>
    <row r="27" spans="7:18">
      <c r="G27" s="32" t="s">
        <v>484</v>
      </c>
      <c r="H27" s="75">
        <v>3651</v>
      </c>
      <c r="I27" s="75">
        <v>0</v>
      </c>
      <c r="J27" s="75">
        <v>5759544</v>
      </c>
      <c r="K27" s="75">
        <v>3212014</v>
      </c>
      <c r="L27" s="75">
        <v>2310030</v>
      </c>
      <c r="M27" s="75">
        <v>852460</v>
      </c>
      <c r="N27" s="75"/>
      <c r="O27" s="75"/>
      <c r="P27" s="75"/>
      <c r="Q27" s="75"/>
      <c r="R27" s="76">
        <f t="shared" si="3"/>
        <v>12137699</v>
      </c>
    </row>
    <row r="28" spans="7:18">
      <c r="G28" s="3" t="s">
        <v>487</v>
      </c>
      <c r="H28" s="78">
        <f>IF(COUNT(H13:H15,H23,H24:H27),SUM(H13:H15,H23,H24:H27),"")</f>
        <v>15448927</v>
      </c>
      <c r="I28" s="78">
        <f t="shared" ref="I28:R28" si="4">IF(COUNT(I13:I15,I23,I24:I27),SUM(I13:I15,I23,I24:I27),"")</f>
        <v>10313366</v>
      </c>
      <c r="J28" s="78">
        <f t="shared" si="4"/>
        <v>6375954</v>
      </c>
      <c r="K28" s="78">
        <f t="shared" si="4"/>
        <v>3357409</v>
      </c>
      <c r="L28" s="78">
        <f t="shared" si="4"/>
        <v>2486590</v>
      </c>
      <c r="M28" s="78">
        <f t="shared" si="4"/>
        <v>27152794</v>
      </c>
      <c r="N28" s="78" t="str">
        <f t="shared" si="4"/>
        <v/>
      </c>
      <c r="O28" s="78" t="str">
        <f t="shared" si="4"/>
        <v/>
      </c>
      <c r="P28" s="78" t="str">
        <f t="shared" si="4"/>
        <v/>
      </c>
      <c r="Q28" s="78" t="str">
        <f t="shared" si="4"/>
        <v/>
      </c>
      <c r="R28" s="78">
        <f t="shared" si="4"/>
        <v>65135040</v>
      </c>
    </row>
    <row r="29" spans="7:18" ht="30">
      <c r="G29" s="4" t="s">
        <v>62</v>
      </c>
      <c r="H29" s="135"/>
      <c r="I29" s="136"/>
      <c r="J29" s="136"/>
      <c r="K29" s="136"/>
      <c r="L29" s="136"/>
      <c r="M29" s="136"/>
      <c r="N29" s="136"/>
      <c r="O29" s="136"/>
      <c r="P29" s="136"/>
      <c r="Q29" s="136"/>
      <c r="R29" s="137"/>
    </row>
    <row r="30" spans="7:18">
      <c r="G30" s="5" t="s">
        <v>26</v>
      </c>
      <c r="H30" s="135"/>
      <c r="I30" s="136"/>
      <c r="J30" s="136"/>
      <c r="K30" s="136"/>
      <c r="L30" s="136"/>
      <c r="M30" s="136"/>
      <c r="N30" s="136"/>
      <c r="O30" s="136"/>
      <c r="P30" s="136"/>
      <c r="Q30" s="136"/>
      <c r="R30" s="137"/>
    </row>
    <row r="31" spans="7:18">
      <c r="G31" s="30" t="s">
        <v>63</v>
      </c>
      <c r="H31" s="72">
        <v>872938</v>
      </c>
      <c r="I31" s="72">
        <v>180896</v>
      </c>
      <c r="J31" s="72">
        <v>51832</v>
      </c>
      <c r="K31" s="72">
        <v>138993</v>
      </c>
      <c r="L31" s="72">
        <v>37146</v>
      </c>
      <c r="M31" s="72">
        <v>427908</v>
      </c>
      <c r="N31" s="72"/>
      <c r="O31" s="72"/>
      <c r="P31" s="72"/>
      <c r="Q31" s="72"/>
      <c r="R31" s="77">
        <f t="shared" ref="R31:R36" si="5">IF(COUNT(H31:Q31),SUM(H31:Q31),"")</f>
        <v>1709713</v>
      </c>
    </row>
    <row r="32" spans="7:18">
      <c r="G32" s="31" t="s">
        <v>64</v>
      </c>
      <c r="H32" s="73">
        <v>1151835</v>
      </c>
      <c r="I32" s="73">
        <v>0</v>
      </c>
      <c r="J32" s="73">
        <v>973</v>
      </c>
      <c r="K32" s="73">
        <v>522</v>
      </c>
      <c r="L32" s="73">
        <v>2127</v>
      </c>
      <c r="M32" s="73">
        <v>58590</v>
      </c>
      <c r="N32" s="73"/>
      <c r="O32" s="73"/>
      <c r="P32" s="73"/>
      <c r="Q32" s="73"/>
      <c r="R32" s="74">
        <f t="shared" si="5"/>
        <v>1214047</v>
      </c>
    </row>
    <row r="33" spans="7:18">
      <c r="G33" s="31" t="s">
        <v>489</v>
      </c>
      <c r="H33" s="73">
        <v>22222</v>
      </c>
      <c r="I33" s="73">
        <v>0</v>
      </c>
      <c r="J33" s="73">
        <v>512</v>
      </c>
      <c r="K33" s="73">
        <v>5883</v>
      </c>
      <c r="L33" s="73">
        <v>0</v>
      </c>
      <c r="M33" s="73">
        <v>418079</v>
      </c>
      <c r="N33" s="73"/>
      <c r="O33" s="73"/>
      <c r="P33" s="73"/>
      <c r="Q33" s="73"/>
      <c r="R33" s="74">
        <f t="shared" si="5"/>
        <v>446696</v>
      </c>
    </row>
    <row r="34" spans="7:18">
      <c r="G34" s="31" t="s">
        <v>65</v>
      </c>
      <c r="H34" s="73">
        <v>0</v>
      </c>
      <c r="I34" s="73">
        <v>0</v>
      </c>
      <c r="J34" s="73">
        <v>0</v>
      </c>
      <c r="K34" s="73">
        <v>0</v>
      </c>
      <c r="L34" s="73">
        <v>137287</v>
      </c>
      <c r="M34" s="73">
        <v>537058</v>
      </c>
      <c r="N34" s="73"/>
      <c r="O34" s="73"/>
      <c r="P34" s="73"/>
      <c r="Q34" s="73"/>
      <c r="R34" s="74">
        <f t="shared" si="5"/>
        <v>674345</v>
      </c>
    </row>
    <row r="35" spans="7:18">
      <c r="G35" s="31" t="s">
        <v>66</v>
      </c>
      <c r="H35" s="73">
        <v>30977</v>
      </c>
      <c r="I35" s="73">
        <v>0</v>
      </c>
      <c r="J35" s="73">
        <v>0</v>
      </c>
      <c r="K35" s="73">
        <v>0</v>
      </c>
      <c r="L35" s="73">
        <v>0</v>
      </c>
      <c r="M35" s="73">
        <v>16200</v>
      </c>
      <c r="N35" s="73"/>
      <c r="O35" s="73"/>
      <c r="P35" s="73"/>
      <c r="Q35" s="73"/>
      <c r="R35" s="74">
        <f t="shared" si="5"/>
        <v>47177</v>
      </c>
    </row>
    <row r="36" spans="7:18">
      <c r="G36" s="32" t="s">
        <v>67</v>
      </c>
      <c r="H36" s="75">
        <v>331999</v>
      </c>
      <c r="I36" s="75">
        <v>32715</v>
      </c>
      <c r="J36" s="75">
        <v>0</v>
      </c>
      <c r="K36" s="75">
        <v>3212011</v>
      </c>
      <c r="L36" s="75">
        <v>2310030</v>
      </c>
      <c r="M36" s="75">
        <v>361811</v>
      </c>
      <c r="N36" s="75"/>
      <c r="O36" s="75"/>
      <c r="P36" s="75"/>
      <c r="Q36" s="75"/>
      <c r="R36" s="76">
        <f t="shared" si="5"/>
        <v>6248566</v>
      </c>
    </row>
    <row r="37" spans="7:18">
      <c r="G37" s="3" t="s">
        <v>490</v>
      </c>
      <c r="H37" s="78">
        <f>IF(COUNT(H31:H36),SUM(H31:H36),"")</f>
        <v>2409971</v>
      </c>
      <c r="I37" s="78">
        <f t="shared" ref="I37:R37" si="6">IF(COUNT(I31:I36),SUM(I31:I36),"")</f>
        <v>213611</v>
      </c>
      <c r="J37" s="78">
        <f t="shared" si="6"/>
        <v>53317</v>
      </c>
      <c r="K37" s="78">
        <f t="shared" si="6"/>
        <v>3357409</v>
      </c>
      <c r="L37" s="78">
        <f t="shared" si="6"/>
        <v>2486590</v>
      </c>
      <c r="M37" s="78">
        <f t="shared" si="6"/>
        <v>1819646</v>
      </c>
      <c r="N37" s="78" t="str">
        <f t="shared" si="6"/>
        <v/>
      </c>
      <c r="O37" s="78" t="str">
        <f t="shared" si="6"/>
        <v/>
      </c>
      <c r="P37" s="78" t="str">
        <f t="shared" si="6"/>
        <v/>
      </c>
      <c r="Q37" s="78" t="str">
        <f t="shared" si="6"/>
        <v/>
      </c>
      <c r="R37" s="78">
        <f t="shared" si="6"/>
        <v>10340544</v>
      </c>
    </row>
    <row r="38" spans="7:18">
      <c r="G38" s="5" t="s">
        <v>68</v>
      </c>
      <c r="H38" s="138"/>
      <c r="I38" s="139"/>
      <c r="J38" s="139"/>
      <c r="K38" s="139"/>
      <c r="L38" s="139"/>
      <c r="M38" s="139"/>
      <c r="N38" s="139"/>
      <c r="O38" s="139"/>
      <c r="P38" s="139"/>
      <c r="Q38" s="139"/>
      <c r="R38" s="140"/>
    </row>
    <row r="39" spans="7:18">
      <c r="G39" s="38" t="s">
        <v>492</v>
      </c>
      <c r="H39" s="72">
        <v>365151</v>
      </c>
      <c r="I39" s="72">
        <v>0</v>
      </c>
      <c r="J39" s="72">
        <v>0</v>
      </c>
      <c r="K39" s="72">
        <v>0</v>
      </c>
      <c r="L39" s="72">
        <v>0</v>
      </c>
      <c r="M39" s="71">
        <v>0</v>
      </c>
      <c r="N39" s="72"/>
      <c r="O39" s="72"/>
      <c r="P39" s="72"/>
      <c r="Q39" s="72"/>
      <c r="R39" s="77">
        <f t="shared" ref="R39:R40" si="7">IF(COUNT(H39:Q39),SUM(H39:Q39),"")</f>
        <v>365151</v>
      </c>
    </row>
    <row r="40" spans="7:18">
      <c r="G40" s="39" t="s">
        <v>69</v>
      </c>
      <c r="H40" s="75">
        <v>0</v>
      </c>
      <c r="I40" s="75">
        <v>0</v>
      </c>
      <c r="J40" s="75">
        <v>5759544</v>
      </c>
      <c r="K40" s="75">
        <v>0</v>
      </c>
      <c r="L40" s="75">
        <v>0</v>
      </c>
      <c r="M40" s="75">
        <v>518304</v>
      </c>
      <c r="N40" s="75"/>
      <c r="O40" s="75"/>
      <c r="P40" s="75"/>
      <c r="Q40" s="75"/>
      <c r="R40" s="76">
        <f t="shared" si="7"/>
        <v>6277848</v>
      </c>
    </row>
    <row r="41" spans="7:18">
      <c r="G41" s="3" t="s">
        <v>70</v>
      </c>
      <c r="H41" s="78">
        <f>IF(COUNT(H39:H40),SUM(H39:H40),"")</f>
        <v>365151</v>
      </c>
      <c r="I41" s="78">
        <f t="shared" ref="I41:R41" si="8">IF(COUNT(I39:I40),SUM(I39:I40),"")</f>
        <v>0</v>
      </c>
      <c r="J41" s="78">
        <f t="shared" si="8"/>
        <v>5759544</v>
      </c>
      <c r="K41" s="78">
        <f t="shared" si="8"/>
        <v>0</v>
      </c>
      <c r="L41" s="78">
        <f t="shared" si="8"/>
        <v>0</v>
      </c>
      <c r="M41" s="78">
        <f t="shared" si="8"/>
        <v>518304</v>
      </c>
      <c r="N41" s="78" t="str">
        <f t="shared" si="8"/>
        <v/>
      </c>
      <c r="O41" s="78" t="str">
        <f t="shared" si="8"/>
        <v/>
      </c>
      <c r="P41" s="78" t="str">
        <f t="shared" si="8"/>
        <v/>
      </c>
      <c r="Q41" s="78" t="str">
        <f t="shared" si="8"/>
        <v/>
      </c>
      <c r="R41" s="78">
        <f t="shared" si="8"/>
        <v>6642999</v>
      </c>
    </row>
    <row r="42" spans="7:18">
      <c r="G42" s="5" t="s">
        <v>71</v>
      </c>
      <c r="H42" s="135"/>
      <c r="I42" s="136"/>
      <c r="J42" s="136"/>
      <c r="K42" s="136"/>
      <c r="L42" s="136"/>
      <c r="M42" s="136"/>
      <c r="N42" s="136"/>
      <c r="O42" s="136"/>
      <c r="P42" s="136"/>
      <c r="Q42" s="136"/>
      <c r="R42" s="137"/>
    </row>
    <row r="43" spans="7:18">
      <c r="G43" s="30" t="s">
        <v>72</v>
      </c>
      <c r="H43" s="72">
        <v>95259</v>
      </c>
      <c r="I43" s="72">
        <v>0</v>
      </c>
      <c r="J43" s="72">
        <v>0</v>
      </c>
      <c r="K43" s="72">
        <v>0</v>
      </c>
      <c r="L43" s="72">
        <v>0</v>
      </c>
      <c r="M43" s="72">
        <v>829060</v>
      </c>
      <c r="N43" s="72"/>
      <c r="O43" s="72"/>
      <c r="P43" s="72"/>
      <c r="Q43" s="72"/>
      <c r="R43" s="77">
        <f t="shared" ref="R43:R46" si="9">IF(COUNT(H43:Q43),SUM(H43:Q43),"")</f>
        <v>924319</v>
      </c>
    </row>
    <row r="44" spans="7:18">
      <c r="G44" s="31" t="s">
        <v>43</v>
      </c>
      <c r="H44" s="73">
        <v>0</v>
      </c>
      <c r="I44" s="73">
        <v>10099755</v>
      </c>
      <c r="J44" s="73">
        <v>563093</v>
      </c>
      <c r="K44" s="73">
        <v>0</v>
      </c>
      <c r="L44" s="73">
        <v>0</v>
      </c>
      <c r="M44" s="73">
        <v>23832586</v>
      </c>
      <c r="N44" s="73"/>
      <c r="O44" s="73"/>
      <c r="P44" s="73"/>
      <c r="Q44" s="73"/>
      <c r="R44" s="74">
        <f t="shared" si="9"/>
        <v>34495434</v>
      </c>
    </row>
    <row r="45" spans="7:18">
      <c r="G45" s="31" t="s">
        <v>73</v>
      </c>
      <c r="H45" s="73">
        <v>5374527</v>
      </c>
      <c r="I45" s="73">
        <v>0</v>
      </c>
      <c r="J45" s="73">
        <v>0</v>
      </c>
      <c r="K45" s="73">
        <v>0</v>
      </c>
      <c r="L45" s="73">
        <v>0</v>
      </c>
      <c r="M45" s="73">
        <v>157598</v>
      </c>
      <c r="N45" s="73"/>
      <c r="O45" s="73"/>
      <c r="P45" s="73"/>
      <c r="Q45" s="73"/>
      <c r="R45" s="74">
        <f t="shared" si="9"/>
        <v>5532125</v>
      </c>
    </row>
    <row r="46" spans="7:18">
      <c r="G46" s="32" t="s">
        <v>74</v>
      </c>
      <c r="H46" s="75">
        <v>7204019</v>
      </c>
      <c r="I46" s="75">
        <v>0</v>
      </c>
      <c r="J46" s="75">
        <v>0</v>
      </c>
      <c r="K46" s="75">
        <v>0</v>
      </c>
      <c r="L46" s="75">
        <v>0</v>
      </c>
      <c r="M46" s="75">
        <v>-4400</v>
      </c>
      <c r="N46" s="75"/>
      <c r="O46" s="75"/>
      <c r="P46" s="75"/>
      <c r="Q46" s="75"/>
      <c r="R46" s="76">
        <f t="shared" si="9"/>
        <v>7199619</v>
      </c>
    </row>
    <row r="47" spans="7:18">
      <c r="G47" s="3" t="s">
        <v>75</v>
      </c>
      <c r="H47" s="78">
        <f>IF(COUNT(H43:H46),SUM(H43:H46),"")</f>
        <v>12673805</v>
      </c>
      <c r="I47" s="78">
        <f t="shared" ref="I47:L47" si="10">IF(COUNT(I43:I46),SUM(I43:I46),"")</f>
        <v>10099755</v>
      </c>
      <c r="J47" s="78">
        <f t="shared" si="10"/>
        <v>563093</v>
      </c>
      <c r="K47" s="78">
        <f t="shared" si="10"/>
        <v>0</v>
      </c>
      <c r="L47" s="78">
        <f t="shared" si="10"/>
        <v>0</v>
      </c>
      <c r="M47" s="78">
        <f t="shared" ref="M47:R47" si="11">IF(COUNT(M43:M46),SUM(M43:M46),"")</f>
        <v>24814844</v>
      </c>
      <c r="N47" s="78" t="str">
        <f t="shared" si="11"/>
        <v/>
      </c>
      <c r="O47" s="78" t="str">
        <f t="shared" si="11"/>
        <v/>
      </c>
      <c r="P47" s="78" t="str">
        <f t="shared" si="11"/>
        <v/>
      </c>
      <c r="Q47" s="78" t="str">
        <f t="shared" si="11"/>
        <v/>
      </c>
      <c r="R47" s="78">
        <f t="shared" si="11"/>
        <v>48151497</v>
      </c>
    </row>
    <row r="48" spans="7:18" ht="30">
      <c r="G48" s="10" t="s">
        <v>76</v>
      </c>
      <c r="H48" s="78">
        <f>IF(COUNT(H37,H41,H47),SUM(H37,H41,H47),"")</f>
        <v>15448927</v>
      </c>
      <c r="I48" s="78">
        <f t="shared" ref="I48:L48" si="12">IF(COUNT(I37,I41,I47),SUM(I37,I41,I47),"")</f>
        <v>10313366</v>
      </c>
      <c r="J48" s="78">
        <f t="shared" si="12"/>
        <v>6375954</v>
      </c>
      <c r="K48" s="78">
        <f t="shared" si="12"/>
        <v>3357409</v>
      </c>
      <c r="L48" s="78">
        <f t="shared" si="12"/>
        <v>2486590</v>
      </c>
      <c r="M48" s="78">
        <f t="shared" ref="M48:R48" si="13">IF(COUNT(M37,M41,M47),SUM(M37,M41,M47),"")</f>
        <v>27152794</v>
      </c>
      <c r="N48" s="78" t="str">
        <f t="shared" si="13"/>
        <v/>
      </c>
      <c r="O48" s="78" t="str">
        <f t="shared" si="13"/>
        <v/>
      </c>
      <c r="P48" s="78" t="str">
        <f t="shared" si="13"/>
        <v/>
      </c>
      <c r="Q48" s="78" t="str">
        <f t="shared" si="13"/>
        <v/>
      </c>
      <c r="R48" s="78">
        <f t="shared" si="13"/>
        <v>65135040</v>
      </c>
    </row>
    <row r="49"/>
  </sheetData>
  <sheetProtection algorithmName="SHA-512" hashValue="5ej5RoAl/Le2uR3mIEc37x5vbfZD7V2JpT6PbYLZcY3ZpvfEOmekMFBdFGYbnK4Yh/++b2jlCkz8mz7/qpRTgQ==" saltValue="M3lsRWWgmawz7AWX95R5dA==" spinCount="100000" sheet="1" objects="1" scenarios="1"/>
  <dataValidations count="3">
    <dataValidation type="whole" allowBlank="1" showInputMessage="1" showErrorMessage="1" sqref="R13:R15 H17:R28 H31:R37 H39:R41 H43:R48">
      <formula1>-1.11111111111111E+38</formula1>
      <formula2>1.11111111111111E+54</formula2>
    </dataValidation>
    <dataValidation type="whole" allowBlank="1" showInputMessage="1" showErrorMessage="1" sqref="H13:Q15">
      <formula1>-1.11111111111111E+23</formula1>
      <formula2>111111111111111000000</formula2>
    </dataValidation>
    <dataValidation allowBlank="1" showInputMessage="1" showErrorMessage="1" prompt="Nature of other government fund" sqref="M11:Q11 J11:K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48"/>
  <sheetViews>
    <sheetView topLeftCell="A78" workbookViewId="0">
      <selection activeCell="A100" sqref="A100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268</v>
      </c>
      <c r="B1" s="53" t="s">
        <v>258</v>
      </c>
      <c r="C1" s="53" t="s">
        <v>259</v>
      </c>
      <c r="D1" s="53" t="s">
        <v>260</v>
      </c>
      <c r="E1" s="53" t="s">
        <v>269</v>
      </c>
    </row>
    <row r="2" spans="1:5" ht="21" customHeight="1">
      <c r="A2" s="184" t="s">
        <v>414</v>
      </c>
      <c r="B2" s="184"/>
      <c r="C2" s="184"/>
      <c r="D2" s="184"/>
      <c r="E2" s="184"/>
    </row>
    <row r="3" spans="1:5">
      <c r="A3" t="s">
        <v>460</v>
      </c>
      <c r="B3" t="s">
        <v>461</v>
      </c>
      <c r="C3" t="s">
        <v>264</v>
      </c>
      <c r="D3" t="s">
        <v>261</v>
      </c>
      <c r="E3" t="s">
        <v>520</v>
      </c>
    </row>
    <row r="4" spans="1:5">
      <c r="A4" t="s">
        <v>262</v>
      </c>
      <c r="B4" t="s">
        <v>247</v>
      </c>
      <c r="C4" t="s">
        <v>265</v>
      </c>
      <c r="D4" t="s">
        <v>351</v>
      </c>
      <c r="E4" t="s">
        <v>266</v>
      </c>
    </row>
    <row r="5" spans="1:5">
      <c r="A5" t="s">
        <v>263</v>
      </c>
      <c r="B5" t="s">
        <v>250</v>
      </c>
      <c r="C5" t="s">
        <v>265</v>
      </c>
      <c r="D5" t="s">
        <v>351</v>
      </c>
      <c r="E5" t="s">
        <v>267</v>
      </c>
    </row>
    <row r="6" spans="1:5" ht="18.75">
      <c r="A6" s="52" t="s">
        <v>459</v>
      </c>
      <c r="B6" s="52"/>
      <c r="C6" s="52"/>
      <c r="D6" s="52"/>
      <c r="E6" s="52"/>
    </row>
    <row r="7" spans="1:5">
      <c r="A7" s="54" t="s">
        <v>462</v>
      </c>
      <c r="B7" t="s">
        <v>5</v>
      </c>
      <c r="C7" t="s">
        <v>325</v>
      </c>
      <c r="D7" t="s">
        <v>351</v>
      </c>
    </row>
    <row r="8" spans="1:5">
      <c r="A8" t="s">
        <v>7</v>
      </c>
      <c r="B8" t="s">
        <v>7</v>
      </c>
      <c r="C8" t="s">
        <v>325</v>
      </c>
      <c r="D8" t="s">
        <v>351</v>
      </c>
    </row>
    <row r="9" spans="1:5">
      <c r="A9" t="s">
        <v>8</v>
      </c>
      <c r="B9" t="s">
        <v>8</v>
      </c>
      <c r="C9" t="s">
        <v>325</v>
      </c>
      <c r="D9" t="s">
        <v>351</v>
      </c>
    </row>
    <row r="10" spans="1:5">
      <c r="A10" t="s">
        <v>271</v>
      </c>
      <c r="B10" t="s">
        <v>9</v>
      </c>
      <c r="C10" t="s">
        <v>325</v>
      </c>
      <c r="D10" t="s">
        <v>351</v>
      </c>
    </row>
    <row r="11" spans="1:5">
      <c r="A11" t="s">
        <v>10</v>
      </c>
      <c r="B11" t="s">
        <v>10</v>
      </c>
      <c r="C11" t="s">
        <v>325</v>
      </c>
      <c r="D11" t="s">
        <v>351</v>
      </c>
    </row>
    <row r="12" spans="1:5">
      <c r="A12" t="s">
        <v>6</v>
      </c>
      <c r="B12" t="s">
        <v>11</v>
      </c>
      <c r="C12" t="s">
        <v>325</v>
      </c>
      <c r="D12" t="s">
        <v>351</v>
      </c>
    </row>
    <row r="13" spans="1:5">
      <c r="A13" t="s">
        <v>272</v>
      </c>
      <c r="B13" t="s">
        <v>12</v>
      </c>
      <c r="C13" t="s">
        <v>325</v>
      </c>
      <c r="D13" t="s">
        <v>351</v>
      </c>
    </row>
    <row r="14" spans="1:5">
      <c r="A14" s="54" t="s">
        <v>463</v>
      </c>
      <c r="B14" t="s">
        <v>13</v>
      </c>
      <c r="C14" t="s">
        <v>325</v>
      </c>
      <c r="D14" t="s">
        <v>351</v>
      </c>
    </row>
    <row r="15" spans="1:5">
      <c r="A15" s="54" t="s">
        <v>474</v>
      </c>
      <c r="B15" t="s">
        <v>14</v>
      </c>
      <c r="C15" t="s">
        <v>325</v>
      </c>
      <c r="D15" t="s">
        <v>351</v>
      </c>
    </row>
    <row r="16" spans="1:5">
      <c r="A16" t="s">
        <v>275</v>
      </c>
      <c r="B16" t="s">
        <v>15</v>
      </c>
      <c r="C16" t="s">
        <v>325</v>
      </c>
      <c r="D16" t="s">
        <v>351</v>
      </c>
    </row>
    <row r="17" spans="1:4">
      <c r="A17" t="s">
        <v>17</v>
      </c>
      <c r="B17" t="s">
        <v>17</v>
      </c>
      <c r="C17" t="s">
        <v>325</v>
      </c>
      <c r="D17" t="s">
        <v>351</v>
      </c>
    </row>
    <row r="18" spans="1:4">
      <c r="A18" t="s">
        <v>276</v>
      </c>
      <c r="B18" t="s">
        <v>18</v>
      </c>
      <c r="C18" t="s">
        <v>325</v>
      </c>
      <c r="D18" t="s">
        <v>351</v>
      </c>
    </row>
    <row r="19" spans="1:4">
      <c r="A19" s="54" t="s">
        <v>464</v>
      </c>
      <c r="B19" t="s">
        <v>19</v>
      </c>
      <c r="C19" t="s">
        <v>325</v>
      </c>
      <c r="D19" t="s">
        <v>351</v>
      </c>
    </row>
    <row r="20" spans="1:4">
      <c r="A20" s="54" t="s">
        <v>465</v>
      </c>
      <c r="B20" t="s">
        <v>20</v>
      </c>
      <c r="C20" t="s">
        <v>325</v>
      </c>
      <c r="D20" t="s">
        <v>351</v>
      </c>
    </row>
    <row r="21" spans="1:4">
      <c r="A21" s="54" t="s">
        <v>466</v>
      </c>
      <c r="B21" t="s">
        <v>22</v>
      </c>
      <c r="C21" t="s">
        <v>325</v>
      </c>
      <c r="D21" t="s">
        <v>351</v>
      </c>
    </row>
    <row r="22" spans="1:4">
      <c r="A22" s="54" t="s">
        <v>467</v>
      </c>
      <c r="B22" t="s">
        <v>21</v>
      </c>
      <c r="C22" t="s">
        <v>325</v>
      </c>
      <c r="D22" t="s">
        <v>351</v>
      </c>
    </row>
    <row r="23" spans="1:4">
      <c r="A23" t="s">
        <v>280</v>
      </c>
      <c r="B23" t="s">
        <v>478</v>
      </c>
      <c r="C23" t="s">
        <v>325</v>
      </c>
      <c r="D23" t="s">
        <v>351</v>
      </c>
    </row>
    <row r="24" spans="1:4">
      <c r="A24" t="s">
        <v>281</v>
      </c>
      <c r="B24" t="s">
        <v>24</v>
      </c>
      <c r="C24" t="s">
        <v>325</v>
      </c>
      <c r="D24" t="s">
        <v>351</v>
      </c>
    </row>
    <row r="25" spans="1:4">
      <c r="A25" t="s">
        <v>282</v>
      </c>
      <c r="B25" t="s">
        <v>25</v>
      </c>
      <c r="C25" t="s">
        <v>325</v>
      </c>
      <c r="D25" t="s">
        <v>351</v>
      </c>
    </row>
    <row r="26" spans="1:4">
      <c r="A26" t="s">
        <v>283</v>
      </c>
      <c r="B26" t="s">
        <v>27</v>
      </c>
      <c r="C26" t="s">
        <v>325</v>
      </c>
      <c r="D26" t="s">
        <v>351</v>
      </c>
    </row>
    <row r="27" spans="1:4">
      <c r="A27" s="54" t="s">
        <v>468</v>
      </c>
      <c r="B27" t="s">
        <v>28</v>
      </c>
      <c r="C27" t="s">
        <v>325</v>
      </c>
      <c r="D27" t="s">
        <v>351</v>
      </c>
    </row>
    <row r="28" spans="1:4">
      <c r="A28" t="s">
        <v>285</v>
      </c>
      <c r="B28" t="s">
        <v>29</v>
      </c>
      <c r="C28" t="s">
        <v>325</v>
      </c>
      <c r="D28" t="s">
        <v>351</v>
      </c>
    </row>
    <row r="29" spans="1:4">
      <c r="A29" t="s">
        <v>286</v>
      </c>
      <c r="B29" t="s">
        <v>30</v>
      </c>
      <c r="C29" t="s">
        <v>325</v>
      </c>
      <c r="D29" t="s">
        <v>351</v>
      </c>
    </row>
    <row r="30" spans="1:4">
      <c r="A30" t="s">
        <v>287</v>
      </c>
      <c r="B30" t="s">
        <v>31</v>
      </c>
      <c r="C30" t="s">
        <v>325</v>
      </c>
      <c r="D30" t="s">
        <v>351</v>
      </c>
    </row>
    <row r="31" spans="1:4">
      <c r="A31" t="s">
        <v>288</v>
      </c>
      <c r="B31" t="s">
        <v>32</v>
      </c>
      <c r="C31" t="s">
        <v>325</v>
      </c>
      <c r="D31" t="s">
        <v>351</v>
      </c>
    </row>
    <row r="32" spans="1:4">
      <c r="A32" t="s">
        <v>289</v>
      </c>
      <c r="B32" t="s">
        <v>33</v>
      </c>
      <c r="C32" t="s">
        <v>325</v>
      </c>
      <c r="D32" t="s">
        <v>351</v>
      </c>
    </row>
    <row r="33" spans="1:5">
      <c r="A33" t="s">
        <v>469</v>
      </c>
      <c r="B33" t="s">
        <v>34</v>
      </c>
      <c r="C33" t="s">
        <v>325</v>
      </c>
      <c r="D33" t="s">
        <v>351</v>
      </c>
    </row>
    <row r="34" spans="1:5">
      <c r="A34" t="s">
        <v>470</v>
      </c>
      <c r="B34" t="s">
        <v>36</v>
      </c>
      <c r="C34" t="s">
        <v>325</v>
      </c>
      <c r="D34" t="s">
        <v>351</v>
      </c>
    </row>
    <row r="35" spans="1:5">
      <c r="A35" t="s">
        <v>291</v>
      </c>
      <c r="B35" t="s">
        <v>38</v>
      </c>
      <c r="C35" t="s">
        <v>325</v>
      </c>
      <c r="D35" t="s">
        <v>351</v>
      </c>
    </row>
    <row r="36" spans="1:5">
      <c r="A36" t="s">
        <v>292</v>
      </c>
      <c r="B36" t="s">
        <v>39</v>
      </c>
      <c r="C36" t="s">
        <v>325</v>
      </c>
      <c r="D36" t="s">
        <v>351</v>
      </c>
    </row>
    <row r="37" spans="1:5">
      <c r="A37" t="s">
        <v>293</v>
      </c>
      <c r="B37" t="s">
        <v>40</v>
      </c>
      <c r="C37" t="s">
        <v>325</v>
      </c>
      <c r="D37" t="s">
        <v>351</v>
      </c>
    </row>
    <row r="38" spans="1:5">
      <c r="A38" s="54" t="s">
        <v>471</v>
      </c>
      <c r="B38" t="s">
        <v>42</v>
      </c>
      <c r="C38" t="s">
        <v>325</v>
      </c>
      <c r="D38" t="s">
        <v>351</v>
      </c>
    </row>
    <row r="39" spans="1:5">
      <c r="A39" t="s">
        <v>294</v>
      </c>
      <c r="B39" t="s">
        <v>232</v>
      </c>
      <c r="C39" t="s">
        <v>325</v>
      </c>
      <c r="D39" t="s">
        <v>351</v>
      </c>
    </row>
    <row r="40" spans="1:5">
      <c r="A40" t="s">
        <v>295</v>
      </c>
      <c r="B40" t="s">
        <v>44</v>
      </c>
      <c r="C40" t="s">
        <v>325</v>
      </c>
      <c r="D40" t="s">
        <v>351</v>
      </c>
    </row>
    <row r="41" spans="1:5">
      <c r="A41" t="s">
        <v>296</v>
      </c>
      <c r="B41" t="s">
        <v>45</v>
      </c>
      <c r="C41" t="s">
        <v>325</v>
      </c>
      <c r="D41" t="s">
        <v>351</v>
      </c>
    </row>
    <row r="42" spans="1:5">
      <c r="A42" t="s">
        <v>297</v>
      </c>
      <c r="B42" t="s">
        <v>46</v>
      </c>
      <c r="C42" t="s">
        <v>325</v>
      </c>
      <c r="D42" t="s">
        <v>351</v>
      </c>
    </row>
    <row r="43" spans="1:5">
      <c r="A43" t="s">
        <v>298</v>
      </c>
      <c r="B43" t="s">
        <v>479</v>
      </c>
      <c r="C43" t="s">
        <v>325</v>
      </c>
      <c r="D43" t="s">
        <v>351</v>
      </c>
    </row>
    <row r="44" spans="1:5">
      <c r="A44" s="54" t="s">
        <v>472</v>
      </c>
      <c r="B44" t="s">
        <v>47</v>
      </c>
      <c r="C44" t="s">
        <v>325</v>
      </c>
      <c r="D44" t="s">
        <v>351</v>
      </c>
    </row>
    <row r="45" spans="1:5">
      <c r="A45" s="54" t="s">
        <v>473</v>
      </c>
      <c r="B45" t="s">
        <v>48</v>
      </c>
      <c r="C45" t="s">
        <v>325</v>
      </c>
      <c r="D45" t="s">
        <v>351</v>
      </c>
    </row>
    <row r="46" spans="1:5">
      <c r="A46" s="54" t="s">
        <v>299</v>
      </c>
      <c r="B46" t="s">
        <v>49</v>
      </c>
      <c r="C46" t="s">
        <v>325</v>
      </c>
      <c r="D46" t="s">
        <v>351</v>
      </c>
    </row>
    <row r="47" spans="1:5" ht="18.75">
      <c r="A47" s="52" t="s">
        <v>240</v>
      </c>
      <c r="B47" s="52"/>
      <c r="C47" s="52"/>
      <c r="D47" s="52"/>
      <c r="E47" s="52"/>
    </row>
    <row r="48" spans="1:5">
      <c r="A48" t="s">
        <v>209</v>
      </c>
      <c r="B48" t="s">
        <v>209</v>
      </c>
      <c r="C48" t="s">
        <v>325</v>
      </c>
      <c r="D48" t="s">
        <v>261</v>
      </c>
    </row>
    <row r="49" spans="1:4">
      <c r="A49" t="s">
        <v>304</v>
      </c>
      <c r="B49" t="s">
        <v>210</v>
      </c>
      <c r="C49" t="s">
        <v>325</v>
      </c>
      <c r="D49" t="s">
        <v>261</v>
      </c>
    </row>
    <row r="50" spans="1:4">
      <c r="A50" t="s">
        <v>448</v>
      </c>
      <c r="B50" t="s">
        <v>211</v>
      </c>
      <c r="C50" t="s">
        <v>325</v>
      </c>
      <c r="D50" t="s">
        <v>261</v>
      </c>
    </row>
    <row r="51" spans="1:4">
      <c r="A51" t="s">
        <v>449</v>
      </c>
      <c r="B51" t="s">
        <v>212</v>
      </c>
      <c r="C51" t="s">
        <v>325</v>
      </c>
      <c r="D51" t="s">
        <v>261</v>
      </c>
    </row>
    <row r="52" spans="1:4">
      <c r="A52" t="s">
        <v>450</v>
      </c>
      <c r="B52" t="s">
        <v>237</v>
      </c>
      <c r="C52" t="s">
        <v>325</v>
      </c>
      <c r="D52" t="s">
        <v>261</v>
      </c>
    </row>
    <row r="53" spans="1:4">
      <c r="A53" t="s">
        <v>450</v>
      </c>
      <c r="B53" t="s">
        <v>107</v>
      </c>
      <c r="C53" t="s">
        <v>325</v>
      </c>
      <c r="D53" t="s">
        <v>261</v>
      </c>
    </row>
    <row r="54" spans="1:4">
      <c r="A54" t="s">
        <v>450</v>
      </c>
      <c r="B54" t="s">
        <v>214</v>
      </c>
      <c r="C54" t="s">
        <v>325</v>
      </c>
      <c r="D54" t="s">
        <v>261</v>
      </c>
    </row>
    <row r="55" spans="1:4">
      <c r="A55" t="s">
        <v>451</v>
      </c>
      <c r="B55" t="s">
        <v>221</v>
      </c>
      <c r="C55" t="s">
        <v>325</v>
      </c>
      <c r="D55" t="s">
        <v>261</v>
      </c>
    </row>
    <row r="56" spans="1:4">
      <c r="A56" t="s">
        <v>452</v>
      </c>
      <c r="B56" t="s">
        <v>222</v>
      </c>
      <c r="C56" t="s">
        <v>325</v>
      </c>
      <c r="D56" t="s">
        <v>261</v>
      </c>
    </row>
    <row r="57" spans="1:4">
      <c r="A57" t="s">
        <v>453</v>
      </c>
      <c r="B57" t="s">
        <v>223</v>
      </c>
      <c r="C57" t="s">
        <v>325</v>
      </c>
      <c r="D57" t="s">
        <v>261</v>
      </c>
    </row>
    <row r="58" spans="1:4">
      <c r="A58" t="s">
        <v>454</v>
      </c>
      <c r="B58" t="s">
        <v>224</v>
      </c>
      <c r="C58" t="s">
        <v>325</v>
      </c>
      <c r="D58" t="s">
        <v>261</v>
      </c>
    </row>
    <row r="59" spans="1:4">
      <c r="A59" t="s">
        <v>455</v>
      </c>
      <c r="B59" t="s">
        <v>225</v>
      </c>
      <c r="C59" t="s">
        <v>325</v>
      </c>
      <c r="D59" t="s">
        <v>261</v>
      </c>
    </row>
    <row r="60" spans="1:4">
      <c r="A60" t="s">
        <v>456</v>
      </c>
      <c r="B60" t="s">
        <v>226</v>
      </c>
      <c r="C60" t="s">
        <v>325</v>
      </c>
      <c r="D60" t="s">
        <v>261</v>
      </c>
    </row>
    <row r="61" spans="1:4">
      <c r="A61" t="s">
        <v>308</v>
      </c>
      <c r="B61" t="s">
        <v>84</v>
      </c>
      <c r="C61" t="s">
        <v>325</v>
      </c>
      <c r="D61" t="s">
        <v>261</v>
      </c>
    </row>
    <row r="62" spans="1:4">
      <c r="A62" t="s">
        <v>227</v>
      </c>
      <c r="B62" t="s">
        <v>227</v>
      </c>
      <c r="C62" t="s">
        <v>325</v>
      </c>
      <c r="D62" t="s">
        <v>261</v>
      </c>
    </row>
    <row r="63" spans="1:4">
      <c r="A63" t="s">
        <v>228</v>
      </c>
      <c r="B63" t="s">
        <v>228</v>
      </c>
      <c r="C63" t="s">
        <v>325</v>
      </c>
      <c r="D63" t="s">
        <v>261</v>
      </c>
    </row>
    <row r="64" spans="1:4">
      <c r="A64" t="s">
        <v>457</v>
      </c>
      <c r="B64" t="s">
        <v>229</v>
      </c>
      <c r="C64" t="s">
        <v>325</v>
      </c>
      <c r="D64" t="s">
        <v>261</v>
      </c>
    </row>
    <row r="65" spans="1:5">
      <c r="A65" t="s">
        <v>458</v>
      </c>
      <c r="B65" t="s">
        <v>167</v>
      </c>
      <c r="C65" t="s">
        <v>325</v>
      </c>
      <c r="D65" t="s">
        <v>261</v>
      </c>
    </row>
    <row r="66" spans="1:5">
      <c r="A66" t="s">
        <v>299</v>
      </c>
      <c r="B66" t="s">
        <v>230</v>
      </c>
      <c r="C66" t="s">
        <v>325</v>
      </c>
      <c r="D66" t="s">
        <v>351</v>
      </c>
    </row>
    <row r="67" spans="1:5">
      <c r="A67" t="s">
        <v>299</v>
      </c>
      <c r="B67" t="s">
        <v>231</v>
      </c>
      <c r="C67" t="s">
        <v>325</v>
      </c>
      <c r="D67" t="s">
        <v>351</v>
      </c>
    </row>
    <row r="68" spans="1:5" ht="18.75">
      <c r="A68" s="52" t="s">
        <v>413</v>
      </c>
      <c r="B68" s="52"/>
      <c r="C68" s="52"/>
      <c r="D68" s="52"/>
      <c r="E68" s="52"/>
    </row>
    <row r="69" spans="1:5">
      <c r="A69" t="s">
        <v>326</v>
      </c>
      <c r="B69" t="s">
        <v>475</v>
      </c>
      <c r="C69" t="s">
        <v>325</v>
      </c>
      <c r="D69" t="s">
        <v>351</v>
      </c>
    </row>
    <row r="70" spans="1:5">
      <c r="A70" t="s">
        <v>327</v>
      </c>
      <c r="B70" t="s">
        <v>477</v>
      </c>
      <c r="C70" t="s">
        <v>325</v>
      </c>
      <c r="D70" t="s">
        <v>351</v>
      </c>
    </row>
    <row r="71" spans="1:5">
      <c r="A71" t="s">
        <v>328</v>
      </c>
      <c r="B71" t="s">
        <v>53</v>
      </c>
      <c r="C71" t="s">
        <v>325</v>
      </c>
      <c r="D71" t="s">
        <v>351</v>
      </c>
    </row>
    <row r="72" spans="1:5">
      <c r="A72" t="s">
        <v>329</v>
      </c>
      <c r="B72" t="s">
        <v>54</v>
      </c>
      <c r="C72" t="s">
        <v>325</v>
      </c>
      <c r="D72" t="s">
        <v>351</v>
      </c>
    </row>
    <row r="73" spans="1:5">
      <c r="A73" t="s">
        <v>330</v>
      </c>
      <c r="B73" t="s">
        <v>55</v>
      </c>
      <c r="C73" t="s">
        <v>325</v>
      </c>
      <c r="D73" t="s">
        <v>351</v>
      </c>
    </row>
    <row r="74" spans="1:5">
      <c r="A74" t="s">
        <v>331</v>
      </c>
      <c r="B74" t="s">
        <v>56</v>
      </c>
      <c r="C74" t="s">
        <v>325</v>
      </c>
      <c r="D74" t="s">
        <v>351</v>
      </c>
    </row>
    <row r="75" spans="1:5">
      <c r="A75" t="s">
        <v>332</v>
      </c>
      <c r="B75" t="s">
        <v>57</v>
      </c>
      <c r="C75" t="s">
        <v>325</v>
      </c>
      <c r="D75" t="s">
        <v>351</v>
      </c>
    </row>
    <row r="76" spans="1:5">
      <c r="A76" t="s">
        <v>58</v>
      </c>
      <c r="B76" t="s">
        <v>58</v>
      </c>
      <c r="C76" t="s">
        <v>325</v>
      </c>
      <c r="D76" t="s">
        <v>351</v>
      </c>
    </row>
    <row r="77" spans="1:5">
      <c r="A77" t="s">
        <v>59</v>
      </c>
      <c r="B77" t="s">
        <v>59</v>
      </c>
      <c r="C77" t="s">
        <v>325</v>
      </c>
      <c r="D77" t="s">
        <v>351</v>
      </c>
    </row>
    <row r="78" spans="1:5">
      <c r="A78" t="s">
        <v>333</v>
      </c>
      <c r="B78" t="s">
        <v>483</v>
      </c>
      <c r="C78" t="s">
        <v>325</v>
      </c>
      <c r="D78" t="s">
        <v>351</v>
      </c>
    </row>
    <row r="79" spans="1:5">
      <c r="A79" t="s">
        <v>334</v>
      </c>
      <c r="B79" t="s">
        <v>60</v>
      </c>
      <c r="C79" t="s">
        <v>325</v>
      </c>
      <c r="D79" t="s">
        <v>351</v>
      </c>
    </row>
    <row r="80" spans="1:5">
      <c r="A80" t="s">
        <v>335</v>
      </c>
      <c r="B80" t="s">
        <v>61</v>
      </c>
      <c r="C80" t="s">
        <v>325</v>
      </c>
      <c r="D80" t="s">
        <v>351</v>
      </c>
    </row>
    <row r="81" spans="1:4">
      <c r="A81" t="s">
        <v>336</v>
      </c>
      <c r="B81" t="s">
        <v>485</v>
      </c>
      <c r="C81" t="s">
        <v>325</v>
      </c>
      <c r="D81" t="s">
        <v>351</v>
      </c>
    </row>
    <row r="82" spans="1:4">
      <c r="A82" t="s">
        <v>337</v>
      </c>
      <c r="B82" t="s">
        <v>484</v>
      </c>
      <c r="C82" t="s">
        <v>325</v>
      </c>
      <c r="D82" t="s">
        <v>351</v>
      </c>
    </row>
    <row r="83" spans="1:4">
      <c r="A83" t="s">
        <v>338</v>
      </c>
      <c r="B83" t="s">
        <v>487</v>
      </c>
      <c r="C83" t="s">
        <v>325</v>
      </c>
      <c r="D83" t="s">
        <v>351</v>
      </c>
    </row>
    <row r="84" spans="1:4">
      <c r="A84" t="s">
        <v>339</v>
      </c>
      <c r="B84" t="s">
        <v>63</v>
      </c>
      <c r="C84" t="s">
        <v>325</v>
      </c>
      <c r="D84" t="s">
        <v>351</v>
      </c>
    </row>
    <row r="85" spans="1:4">
      <c r="A85" t="s">
        <v>340</v>
      </c>
      <c r="B85" t="s">
        <v>64</v>
      </c>
      <c r="C85" t="s">
        <v>325</v>
      </c>
      <c r="D85" t="s">
        <v>351</v>
      </c>
    </row>
    <row r="86" spans="1:4">
      <c r="A86" t="s">
        <v>341</v>
      </c>
      <c r="B86" t="s">
        <v>489</v>
      </c>
      <c r="C86" t="s">
        <v>325</v>
      </c>
      <c r="D86" t="s">
        <v>351</v>
      </c>
    </row>
    <row r="87" spans="1:4">
      <c r="A87" t="s">
        <v>342</v>
      </c>
      <c r="B87" t="s">
        <v>65</v>
      </c>
      <c r="C87" t="s">
        <v>325</v>
      </c>
      <c r="D87" t="s">
        <v>351</v>
      </c>
    </row>
    <row r="88" spans="1:4">
      <c r="A88" t="s">
        <v>343</v>
      </c>
      <c r="B88" t="s">
        <v>66</v>
      </c>
      <c r="C88" t="s">
        <v>325</v>
      </c>
      <c r="D88" t="s">
        <v>351</v>
      </c>
    </row>
    <row r="89" spans="1:4">
      <c r="A89" t="s">
        <v>344</v>
      </c>
      <c r="B89" t="s">
        <v>67</v>
      </c>
      <c r="C89" t="s">
        <v>325</v>
      </c>
      <c r="D89" t="s">
        <v>351</v>
      </c>
    </row>
    <row r="90" spans="1:4">
      <c r="A90" t="s">
        <v>345</v>
      </c>
      <c r="B90" t="s">
        <v>490</v>
      </c>
      <c r="C90" t="s">
        <v>325</v>
      </c>
      <c r="D90" t="s">
        <v>351</v>
      </c>
    </row>
    <row r="91" spans="1:4">
      <c r="A91" t="s">
        <v>346</v>
      </c>
      <c r="B91" t="s">
        <v>492</v>
      </c>
      <c r="C91" t="s">
        <v>325</v>
      </c>
      <c r="D91" t="s">
        <v>351</v>
      </c>
    </row>
    <row r="92" spans="1:4">
      <c r="A92" t="s">
        <v>347</v>
      </c>
      <c r="B92" t="s">
        <v>69</v>
      </c>
      <c r="C92" t="s">
        <v>325</v>
      </c>
      <c r="D92" t="s">
        <v>351</v>
      </c>
    </row>
    <row r="93" spans="1:4">
      <c r="A93" t="s">
        <v>348</v>
      </c>
      <c r="B93" t="s">
        <v>70</v>
      </c>
      <c r="C93" t="s">
        <v>325</v>
      </c>
      <c r="D93" t="s">
        <v>351</v>
      </c>
    </row>
    <row r="94" spans="1:4">
      <c r="A94" t="s">
        <v>72</v>
      </c>
      <c r="B94" t="s">
        <v>72</v>
      </c>
      <c r="C94" t="s">
        <v>325</v>
      </c>
      <c r="D94" t="s">
        <v>351</v>
      </c>
    </row>
    <row r="95" spans="1:4">
      <c r="A95" t="s">
        <v>43</v>
      </c>
      <c r="B95" t="s">
        <v>43</v>
      </c>
      <c r="C95" t="s">
        <v>325</v>
      </c>
      <c r="D95" t="s">
        <v>351</v>
      </c>
    </row>
    <row r="96" spans="1:4">
      <c r="A96" t="s">
        <v>73</v>
      </c>
      <c r="B96" t="s">
        <v>73</v>
      </c>
      <c r="C96" t="s">
        <v>325</v>
      </c>
      <c r="D96" t="s">
        <v>351</v>
      </c>
    </row>
    <row r="97" spans="1:5">
      <c r="A97" t="s">
        <v>74</v>
      </c>
      <c r="B97" t="s">
        <v>74</v>
      </c>
      <c r="C97" t="s">
        <v>325</v>
      </c>
      <c r="D97" t="s">
        <v>351</v>
      </c>
    </row>
    <row r="98" spans="1:5">
      <c r="A98" t="s">
        <v>349</v>
      </c>
      <c r="B98" t="s">
        <v>75</v>
      </c>
      <c r="C98" t="s">
        <v>325</v>
      </c>
      <c r="D98" t="s">
        <v>351</v>
      </c>
    </row>
    <row r="99" spans="1:5">
      <c r="A99" t="s">
        <v>350</v>
      </c>
      <c r="B99" t="s">
        <v>76</v>
      </c>
      <c r="C99" t="s">
        <v>325</v>
      </c>
      <c r="D99" t="s">
        <v>351</v>
      </c>
    </row>
    <row r="100" spans="1:5">
      <c r="A100" t="s">
        <v>527</v>
      </c>
      <c r="B100" t="s">
        <v>528</v>
      </c>
      <c r="C100" t="s">
        <v>264</v>
      </c>
      <c r="D100" t="s">
        <v>261</v>
      </c>
    </row>
    <row r="101" spans="1:5" ht="18.75">
      <c r="A101" s="52" t="s">
        <v>412</v>
      </c>
      <c r="B101" s="52"/>
      <c r="C101" s="52"/>
      <c r="D101" s="52"/>
      <c r="E101" s="52"/>
    </row>
    <row r="102" spans="1:5">
      <c r="A102" t="s">
        <v>301</v>
      </c>
      <c r="B102" t="s">
        <v>476</v>
      </c>
      <c r="C102" t="s">
        <v>325</v>
      </c>
      <c r="D102" t="s">
        <v>261</v>
      </c>
    </row>
    <row r="103" spans="1:5">
      <c r="A103" t="s">
        <v>302</v>
      </c>
      <c r="B103" t="s">
        <v>78</v>
      </c>
      <c r="C103" t="s">
        <v>325</v>
      </c>
      <c r="D103" t="s">
        <v>261</v>
      </c>
    </row>
    <row r="104" spans="1:5">
      <c r="A104" t="s">
        <v>303</v>
      </c>
      <c r="B104" t="s">
        <v>493</v>
      </c>
      <c r="C104" t="s">
        <v>325</v>
      </c>
      <c r="D104" t="s">
        <v>261</v>
      </c>
    </row>
    <row r="105" spans="1:5">
      <c r="A105" t="s">
        <v>304</v>
      </c>
      <c r="B105" t="s">
        <v>79</v>
      </c>
      <c r="C105" t="s">
        <v>325</v>
      </c>
      <c r="D105" t="s">
        <v>261</v>
      </c>
    </row>
    <row r="106" spans="1:5">
      <c r="A106" t="s">
        <v>80</v>
      </c>
      <c r="B106" t="s">
        <v>80</v>
      </c>
      <c r="C106" t="s">
        <v>325</v>
      </c>
      <c r="D106" t="s">
        <v>261</v>
      </c>
    </row>
    <row r="107" spans="1:5">
      <c r="A107" t="s">
        <v>305</v>
      </c>
      <c r="B107" t="s">
        <v>81</v>
      </c>
      <c r="C107" t="s">
        <v>325</v>
      </c>
      <c r="D107" t="s">
        <v>261</v>
      </c>
    </row>
    <row r="108" spans="1:5">
      <c r="A108" t="s">
        <v>306</v>
      </c>
      <c r="B108" t="s">
        <v>82</v>
      </c>
      <c r="C108" t="s">
        <v>325</v>
      </c>
      <c r="D108" t="s">
        <v>261</v>
      </c>
    </row>
    <row r="109" spans="1:5">
      <c r="A109" t="s">
        <v>307</v>
      </c>
      <c r="B109" t="s">
        <v>83</v>
      </c>
      <c r="C109" t="s">
        <v>325</v>
      </c>
      <c r="D109" t="s">
        <v>261</v>
      </c>
    </row>
    <row r="110" spans="1:5">
      <c r="A110" t="s">
        <v>308</v>
      </c>
      <c r="B110" t="s">
        <v>84</v>
      </c>
      <c r="C110" t="s">
        <v>325</v>
      </c>
      <c r="D110" t="s">
        <v>261</v>
      </c>
    </row>
    <row r="111" spans="1:5">
      <c r="A111" t="s">
        <v>309</v>
      </c>
      <c r="B111" t="s">
        <v>512</v>
      </c>
      <c r="C111" t="s">
        <v>325</v>
      </c>
      <c r="D111" t="s">
        <v>261</v>
      </c>
    </row>
    <row r="112" spans="1:5">
      <c r="A112" t="s">
        <v>77</v>
      </c>
      <c r="B112" t="s">
        <v>85</v>
      </c>
      <c r="C112" t="s">
        <v>325</v>
      </c>
      <c r="D112" t="s">
        <v>261</v>
      </c>
    </row>
    <row r="113" spans="1:4">
      <c r="A113" t="s">
        <v>310</v>
      </c>
      <c r="B113" t="s">
        <v>88</v>
      </c>
      <c r="C113" t="s">
        <v>325</v>
      </c>
      <c r="D113" t="s">
        <v>261</v>
      </c>
    </row>
    <row r="114" spans="1:4">
      <c r="A114" t="s">
        <v>311</v>
      </c>
      <c r="B114" t="s">
        <v>89</v>
      </c>
      <c r="C114" t="s">
        <v>325</v>
      </c>
      <c r="D114" t="s">
        <v>261</v>
      </c>
    </row>
    <row r="115" spans="1:4">
      <c r="A115" t="s">
        <v>312</v>
      </c>
      <c r="B115" t="s">
        <v>494</v>
      </c>
      <c r="C115" t="s">
        <v>325</v>
      </c>
      <c r="D115" t="s">
        <v>261</v>
      </c>
    </row>
    <row r="116" spans="1:4">
      <c r="A116" t="s">
        <v>313</v>
      </c>
      <c r="B116" t="s">
        <v>495</v>
      </c>
      <c r="C116" t="s">
        <v>325</v>
      </c>
      <c r="D116" t="s">
        <v>261</v>
      </c>
    </row>
    <row r="117" spans="1:4">
      <c r="A117" t="s">
        <v>314</v>
      </c>
      <c r="B117" t="s">
        <v>91</v>
      </c>
      <c r="C117" t="s">
        <v>325</v>
      </c>
      <c r="D117" t="s">
        <v>261</v>
      </c>
    </row>
    <row r="118" spans="1:4">
      <c r="A118" t="s">
        <v>315</v>
      </c>
      <c r="B118" t="s">
        <v>92</v>
      </c>
      <c r="C118" t="s">
        <v>325</v>
      </c>
      <c r="D118" t="s">
        <v>261</v>
      </c>
    </row>
    <row r="119" spans="1:4">
      <c r="A119" t="s">
        <v>316</v>
      </c>
      <c r="B119" t="s">
        <v>93</v>
      </c>
      <c r="C119" t="s">
        <v>325</v>
      </c>
      <c r="D119" t="s">
        <v>261</v>
      </c>
    </row>
    <row r="120" spans="1:4">
      <c r="A120" t="s">
        <v>95</v>
      </c>
      <c r="B120" t="s">
        <v>95</v>
      </c>
      <c r="C120" t="s">
        <v>325</v>
      </c>
      <c r="D120" t="s">
        <v>261</v>
      </c>
    </row>
    <row r="121" spans="1:4">
      <c r="A121" t="s">
        <v>317</v>
      </c>
      <c r="B121" t="s">
        <v>482</v>
      </c>
      <c r="C121" t="s">
        <v>325</v>
      </c>
      <c r="D121" t="s">
        <v>261</v>
      </c>
    </row>
    <row r="122" spans="1:4">
      <c r="A122" t="s">
        <v>318</v>
      </c>
      <c r="B122" t="s">
        <v>96</v>
      </c>
      <c r="C122" t="s">
        <v>325</v>
      </c>
      <c r="D122" t="s">
        <v>261</v>
      </c>
    </row>
    <row r="123" spans="1:4">
      <c r="A123" t="s">
        <v>86</v>
      </c>
      <c r="B123" t="s">
        <v>97</v>
      </c>
      <c r="C123" t="s">
        <v>325</v>
      </c>
      <c r="D123" t="s">
        <v>261</v>
      </c>
    </row>
    <row r="124" spans="1:4">
      <c r="A124" t="s">
        <v>319</v>
      </c>
      <c r="B124" t="s">
        <v>98</v>
      </c>
      <c r="C124" t="s">
        <v>325</v>
      </c>
      <c r="D124" t="s">
        <v>261</v>
      </c>
    </row>
    <row r="125" spans="1:4">
      <c r="A125" t="s">
        <v>320</v>
      </c>
      <c r="B125" t="s">
        <v>100</v>
      </c>
      <c r="C125" t="s">
        <v>325</v>
      </c>
      <c r="D125" t="s">
        <v>261</v>
      </c>
    </row>
    <row r="126" spans="1:4">
      <c r="A126" t="s">
        <v>321</v>
      </c>
      <c r="B126" t="s">
        <v>101</v>
      </c>
      <c r="C126" t="s">
        <v>325</v>
      </c>
      <c r="D126" t="s">
        <v>261</v>
      </c>
    </row>
    <row r="127" spans="1:4">
      <c r="A127" t="s">
        <v>322</v>
      </c>
      <c r="B127" t="s">
        <v>102</v>
      </c>
      <c r="C127" t="s">
        <v>325</v>
      </c>
      <c r="D127" t="s">
        <v>261</v>
      </c>
    </row>
    <row r="128" spans="1:4">
      <c r="A128" t="s">
        <v>323</v>
      </c>
      <c r="B128" t="s">
        <v>103</v>
      </c>
      <c r="C128" t="s">
        <v>325</v>
      </c>
      <c r="D128" t="s">
        <v>261</v>
      </c>
    </row>
    <row r="129" spans="1:5">
      <c r="A129" t="s">
        <v>324</v>
      </c>
      <c r="B129" t="s">
        <v>104</v>
      </c>
      <c r="C129" t="s">
        <v>325</v>
      </c>
      <c r="D129" t="s">
        <v>351</v>
      </c>
    </row>
    <row r="130" spans="1:5">
      <c r="A130" t="s">
        <v>324</v>
      </c>
      <c r="B130" t="s">
        <v>105</v>
      </c>
      <c r="C130" t="s">
        <v>325</v>
      </c>
      <c r="D130" t="s">
        <v>351</v>
      </c>
    </row>
    <row r="131" spans="1:5" ht="18.75">
      <c r="A131" s="52" t="s">
        <v>411</v>
      </c>
      <c r="B131" s="52"/>
      <c r="C131" s="52"/>
      <c r="D131" s="52"/>
      <c r="E131" s="52"/>
    </row>
    <row r="132" spans="1:5">
      <c r="A132" t="s">
        <v>270</v>
      </c>
      <c r="B132" t="s">
        <v>496</v>
      </c>
      <c r="C132" t="s">
        <v>325</v>
      </c>
      <c r="D132" t="s">
        <v>351</v>
      </c>
    </row>
    <row r="133" spans="1:5">
      <c r="A133" t="s">
        <v>352</v>
      </c>
      <c r="B133" t="s">
        <v>110</v>
      </c>
      <c r="C133" t="s">
        <v>325</v>
      </c>
      <c r="D133" t="s">
        <v>351</v>
      </c>
    </row>
    <row r="134" spans="1:5">
      <c r="A134" t="s">
        <v>353</v>
      </c>
      <c r="B134" t="s">
        <v>111</v>
      </c>
      <c r="C134" t="s">
        <v>325</v>
      </c>
      <c r="D134" t="s">
        <v>351</v>
      </c>
    </row>
    <row r="135" spans="1:5">
      <c r="A135" t="s">
        <v>354</v>
      </c>
      <c r="B135" t="s">
        <v>112</v>
      </c>
      <c r="C135" t="s">
        <v>325</v>
      </c>
      <c r="D135" t="s">
        <v>351</v>
      </c>
    </row>
    <row r="136" spans="1:5">
      <c r="A136" t="s">
        <v>355</v>
      </c>
      <c r="B136" t="s">
        <v>113</v>
      </c>
      <c r="C136" t="s">
        <v>325</v>
      </c>
      <c r="D136" t="s">
        <v>351</v>
      </c>
    </row>
    <row r="137" spans="1:5">
      <c r="A137" t="s">
        <v>356</v>
      </c>
      <c r="B137" t="s">
        <v>114</v>
      </c>
      <c r="C137" t="s">
        <v>325</v>
      </c>
      <c r="D137" t="s">
        <v>351</v>
      </c>
    </row>
    <row r="138" spans="1:5">
      <c r="A138" t="s">
        <v>274</v>
      </c>
      <c r="B138" t="s">
        <v>486</v>
      </c>
      <c r="C138" t="s">
        <v>325</v>
      </c>
      <c r="D138" t="s">
        <v>351</v>
      </c>
    </row>
    <row r="139" spans="1:5">
      <c r="A139" t="s">
        <v>357</v>
      </c>
      <c r="B139" t="s">
        <v>115</v>
      </c>
      <c r="C139" t="s">
        <v>325</v>
      </c>
      <c r="D139" t="s">
        <v>351</v>
      </c>
    </row>
    <row r="140" spans="1:5">
      <c r="A140" t="s">
        <v>273</v>
      </c>
      <c r="B140" t="s">
        <v>117</v>
      </c>
      <c r="C140" t="s">
        <v>325</v>
      </c>
      <c r="D140" t="s">
        <v>351</v>
      </c>
    </row>
    <row r="141" spans="1:5">
      <c r="A141" t="s">
        <v>358</v>
      </c>
      <c r="B141" t="s">
        <v>118</v>
      </c>
      <c r="C141" t="s">
        <v>325</v>
      </c>
      <c r="D141" t="s">
        <v>351</v>
      </c>
    </row>
    <row r="142" spans="1:5">
      <c r="A142" t="s">
        <v>363</v>
      </c>
      <c r="B142" t="s">
        <v>119</v>
      </c>
      <c r="C142" t="s">
        <v>325</v>
      </c>
      <c r="D142" t="s">
        <v>351</v>
      </c>
    </row>
    <row r="143" spans="1:5">
      <c r="A143" t="s">
        <v>359</v>
      </c>
      <c r="B143" t="s">
        <v>480</v>
      </c>
      <c r="C143" t="s">
        <v>325</v>
      </c>
      <c r="D143" t="s">
        <v>351</v>
      </c>
    </row>
    <row r="144" spans="1:5">
      <c r="A144" t="s">
        <v>360</v>
      </c>
      <c r="B144" t="s">
        <v>121</v>
      </c>
      <c r="C144" t="s">
        <v>325</v>
      </c>
      <c r="D144" t="s">
        <v>351</v>
      </c>
    </row>
    <row r="145" spans="1:4">
      <c r="A145" t="s">
        <v>361</v>
      </c>
      <c r="B145" t="s">
        <v>122</v>
      </c>
      <c r="C145" t="s">
        <v>325</v>
      </c>
      <c r="D145" t="s">
        <v>351</v>
      </c>
    </row>
    <row r="146" spans="1:4">
      <c r="A146" t="s">
        <v>277</v>
      </c>
      <c r="B146" t="s">
        <v>497</v>
      </c>
      <c r="C146" t="s">
        <v>325</v>
      </c>
      <c r="D146" t="s">
        <v>351</v>
      </c>
    </row>
    <row r="147" spans="1:4">
      <c r="A147" t="s">
        <v>362</v>
      </c>
      <c r="B147" t="s">
        <v>124</v>
      </c>
      <c r="C147" t="s">
        <v>325</v>
      </c>
      <c r="D147" t="s">
        <v>351</v>
      </c>
    </row>
    <row r="148" spans="1:4">
      <c r="A148" t="s">
        <v>278</v>
      </c>
      <c r="B148" t="s">
        <v>498</v>
      </c>
      <c r="C148" t="s">
        <v>325</v>
      </c>
      <c r="D148" t="s">
        <v>351</v>
      </c>
    </row>
    <row r="149" spans="1:4">
      <c r="A149" t="s">
        <v>279</v>
      </c>
      <c r="B149" t="s">
        <v>123</v>
      </c>
      <c r="C149" t="s">
        <v>325</v>
      </c>
      <c r="D149" t="s">
        <v>351</v>
      </c>
    </row>
    <row r="150" spans="1:4">
      <c r="A150" t="s">
        <v>363</v>
      </c>
      <c r="B150" t="s">
        <v>119</v>
      </c>
      <c r="C150" t="s">
        <v>325</v>
      </c>
      <c r="D150" t="s">
        <v>351</v>
      </c>
    </row>
    <row r="151" spans="1:4">
      <c r="A151" t="s">
        <v>4</v>
      </c>
      <c r="B151" t="s">
        <v>488</v>
      </c>
      <c r="C151" t="s">
        <v>325</v>
      </c>
      <c r="D151" t="s">
        <v>351</v>
      </c>
    </row>
    <row r="152" spans="1:4">
      <c r="A152" t="s">
        <v>364</v>
      </c>
      <c r="B152" t="s">
        <v>125</v>
      </c>
      <c r="C152" t="s">
        <v>325</v>
      </c>
      <c r="D152" t="s">
        <v>351</v>
      </c>
    </row>
    <row r="153" spans="1:4">
      <c r="A153" t="s">
        <v>365</v>
      </c>
      <c r="B153" t="s">
        <v>499</v>
      </c>
      <c r="C153" t="s">
        <v>325</v>
      </c>
      <c r="D153" t="s">
        <v>351</v>
      </c>
    </row>
    <row r="154" spans="1:4">
      <c r="A154" t="s">
        <v>284</v>
      </c>
      <c r="B154" t="s">
        <v>501</v>
      </c>
      <c r="C154" t="s">
        <v>325</v>
      </c>
      <c r="D154" t="s">
        <v>351</v>
      </c>
    </row>
    <row r="155" spans="1:4">
      <c r="A155" t="s">
        <v>366</v>
      </c>
      <c r="B155" t="s">
        <v>127</v>
      </c>
      <c r="C155" t="s">
        <v>325</v>
      </c>
      <c r="D155" t="s">
        <v>351</v>
      </c>
    </row>
    <row r="156" spans="1:4">
      <c r="A156" t="s">
        <v>367</v>
      </c>
      <c r="B156" t="s">
        <v>128</v>
      </c>
      <c r="C156" t="s">
        <v>325</v>
      </c>
      <c r="D156" t="s">
        <v>351</v>
      </c>
    </row>
    <row r="157" spans="1:4">
      <c r="A157" t="s">
        <v>66</v>
      </c>
      <c r="B157" t="s">
        <v>503</v>
      </c>
      <c r="C157" t="s">
        <v>325</v>
      </c>
      <c r="D157" t="s">
        <v>351</v>
      </c>
    </row>
    <row r="158" spans="1:4">
      <c r="A158" t="s">
        <v>368</v>
      </c>
      <c r="B158" t="s">
        <v>129</v>
      </c>
      <c r="C158" t="s">
        <v>325</v>
      </c>
      <c r="D158" t="s">
        <v>351</v>
      </c>
    </row>
    <row r="159" spans="1:4">
      <c r="A159" t="s">
        <v>369</v>
      </c>
      <c r="B159" t="s">
        <v>505</v>
      </c>
      <c r="C159" t="s">
        <v>325</v>
      </c>
      <c r="D159" t="s">
        <v>351</v>
      </c>
    </row>
    <row r="160" spans="1:4">
      <c r="A160" t="s">
        <v>370</v>
      </c>
      <c r="B160" t="s">
        <v>130</v>
      </c>
      <c r="C160" t="s">
        <v>325</v>
      </c>
      <c r="D160" t="s">
        <v>351</v>
      </c>
    </row>
    <row r="161" spans="1:5">
      <c r="A161" t="s">
        <v>371</v>
      </c>
      <c r="B161" t="s">
        <v>131</v>
      </c>
      <c r="C161" t="s">
        <v>325</v>
      </c>
      <c r="D161" t="s">
        <v>351</v>
      </c>
    </row>
    <row r="162" spans="1:5">
      <c r="A162" t="s">
        <v>372</v>
      </c>
      <c r="B162" t="s">
        <v>481</v>
      </c>
      <c r="C162" t="s">
        <v>325</v>
      </c>
      <c r="D162" t="s">
        <v>351</v>
      </c>
    </row>
    <row r="163" spans="1:5">
      <c r="A163" t="s">
        <v>373</v>
      </c>
      <c r="B163" t="s">
        <v>132</v>
      </c>
      <c r="C163" t="s">
        <v>325</v>
      </c>
      <c r="D163" t="s">
        <v>351</v>
      </c>
    </row>
    <row r="164" spans="1:5">
      <c r="A164" t="s">
        <v>290</v>
      </c>
      <c r="B164" t="s">
        <v>507</v>
      </c>
      <c r="C164" t="s">
        <v>325</v>
      </c>
      <c r="D164" t="s">
        <v>351</v>
      </c>
    </row>
    <row r="165" spans="1:5">
      <c r="A165" t="s">
        <v>26</v>
      </c>
      <c r="B165" t="s">
        <v>491</v>
      </c>
      <c r="C165" t="s">
        <v>325</v>
      </c>
      <c r="D165" t="s">
        <v>351</v>
      </c>
    </row>
    <row r="166" spans="1:5">
      <c r="A166" t="s">
        <v>374</v>
      </c>
      <c r="B166" t="s">
        <v>68</v>
      </c>
      <c r="C166" t="s">
        <v>325</v>
      </c>
      <c r="D166" t="s">
        <v>351</v>
      </c>
    </row>
    <row r="167" spans="1:5">
      <c r="A167" t="s">
        <v>300</v>
      </c>
      <c r="B167" t="s">
        <v>508</v>
      </c>
      <c r="C167" t="s">
        <v>325</v>
      </c>
      <c r="D167" t="s">
        <v>351</v>
      </c>
    </row>
    <row r="168" spans="1:5">
      <c r="A168" t="s">
        <v>375</v>
      </c>
      <c r="B168" t="s">
        <v>134</v>
      </c>
      <c r="C168" t="s">
        <v>325</v>
      </c>
      <c r="D168" t="s">
        <v>351</v>
      </c>
    </row>
    <row r="169" spans="1:5">
      <c r="A169" t="s">
        <v>48</v>
      </c>
      <c r="B169" t="s">
        <v>509</v>
      </c>
      <c r="C169" t="s">
        <v>325</v>
      </c>
      <c r="D169" t="s">
        <v>351</v>
      </c>
    </row>
    <row r="170" spans="1:5">
      <c r="A170" t="s">
        <v>299</v>
      </c>
      <c r="B170" t="s">
        <v>510</v>
      </c>
      <c r="C170" t="s">
        <v>325</v>
      </c>
      <c r="D170" t="s">
        <v>351</v>
      </c>
    </row>
    <row r="171" spans="1:5">
      <c r="A171" s="147" t="s">
        <v>526</v>
      </c>
      <c r="B171" t="s">
        <v>525</v>
      </c>
      <c r="C171" t="s">
        <v>325</v>
      </c>
      <c r="D171" t="s">
        <v>261</v>
      </c>
    </row>
    <row r="172" spans="1:5">
      <c r="A172" t="s">
        <v>376</v>
      </c>
      <c r="B172" t="s">
        <v>135</v>
      </c>
      <c r="C172" t="s">
        <v>325</v>
      </c>
      <c r="D172" t="s">
        <v>261</v>
      </c>
    </row>
    <row r="173" spans="1:5">
      <c r="A173" t="s">
        <v>377</v>
      </c>
      <c r="B173" t="s">
        <v>136</v>
      </c>
      <c r="C173" t="s">
        <v>325</v>
      </c>
      <c r="D173" t="s">
        <v>261</v>
      </c>
    </row>
    <row r="174" spans="1:5" ht="18.75">
      <c r="A174" s="52" t="s">
        <v>415</v>
      </c>
      <c r="B174" s="52"/>
      <c r="C174" s="52"/>
      <c r="D174" s="52"/>
      <c r="E174" s="52"/>
    </row>
    <row r="175" spans="1:5">
      <c r="A175" t="s">
        <v>416</v>
      </c>
      <c r="B175" t="s">
        <v>511</v>
      </c>
      <c r="C175" t="s">
        <v>325</v>
      </c>
      <c r="D175" t="s">
        <v>261</v>
      </c>
    </row>
    <row r="176" spans="1:5">
      <c r="A176" t="s">
        <v>417</v>
      </c>
      <c r="B176" t="s">
        <v>138</v>
      </c>
      <c r="C176" t="s">
        <v>325</v>
      </c>
      <c r="D176" t="s">
        <v>261</v>
      </c>
    </row>
    <row r="177" spans="1:4">
      <c r="A177" t="s">
        <v>418</v>
      </c>
      <c r="B177" t="s">
        <v>139</v>
      </c>
      <c r="C177" t="s">
        <v>325</v>
      </c>
      <c r="D177" t="s">
        <v>261</v>
      </c>
    </row>
    <row r="178" spans="1:4">
      <c r="A178" t="s">
        <v>419</v>
      </c>
      <c r="B178" t="s">
        <v>140</v>
      </c>
      <c r="C178" t="s">
        <v>325</v>
      </c>
      <c r="D178" t="s">
        <v>261</v>
      </c>
    </row>
    <row r="179" spans="1:4">
      <c r="A179" t="s">
        <v>420</v>
      </c>
      <c r="B179" t="s">
        <v>513</v>
      </c>
      <c r="C179" t="s">
        <v>325</v>
      </c>
      <c r="D179" t="s">
        <v>261</v>
      </c>
    </row>
    <row r="180" spans="1:4">
      <c r="A180" t="s">
        <v>421</v>
      </c>
      <c r="B180" t="s">
        <v>141</v>
      </c>
      <c r="C180" t="s">
        <v>325</v>
      </c>
      <c r="D180" t="s">
        <v>261</v>
      </c>
    </row>
    <row r="181" spans="1:4">
      <c r="A181" t="s">
        <v>422</v>
      </c>
      <c r="B181" t="s">
        <v>143</v>
      </c>
      <c r="C181" t="s">
        <v>325</v>
      </c>
      <c r="D181" t="s">
        <v>261</v>
      </c>
    </row>
    <row r="182" spans="1:4">
      <c r="A182" t="s">
        <v>423</v>
      </c>
      <c r="B182" t="s">
        <v>144</v>
      </c>
      <c r="C182" t="s">
        <v>325</v>
      </c>
      <c r="D182" t="s">
        <v>261</v>
      </c>
    </row>
    <row r="183" spans="1:4">
      <c r="A183" t="s">
        <v>424</v>
      </c>
      <c r="B183" t="s">
        <v>145</v>
      </c>
      <c r="C183" t="s">
        <v>325</v>
      </c>
      <c r="D183" t="s">
        <v>261</v>
      </c>
    </row>
    <row r="184" spans="1:4">
      <c r="A184" t="s">
        <v>146</v>
      </c>
      <c r="B184" t="s">
        <v>146</v>
      </c>
      <c r="C184" t="s">
        <v>325</v>
      </c>
      <c r="D184" t="s">
        <v>261</v>
      </c>
    </row>
    <row r="185" spans="1:4">
      <c r="A185" t="s">
        <v>425</v>
      </c>
      <c r="B185" t="s">
        <v>147</v>
      </c>
      <c r="C185" t="s">
        <v>325</v>
      </c>
      <c r="D185" t="s">
        <v>261</v>
      </c>
    </row>
    <row r="186" spans="1:4">
      <c r="A186" t="s">
        <v>148</v>
      </c>
      <c r="B186" t="s">
        <v>148</v>
      </c>
      <c r="C186" t="s">
        <v>325</v>
      </c>
      <c r="D186" t="s">
        <v>261</v>
      </c>
    </row>
    <row r="187" spans="1:4">
      <c r="A187" t="s">
        <v>426</v>
      </c>
      <c r="B187" t="s">
        <v>149</v>
      </c>
      <c r="C187" t="s">
        <v>325</v>
      </c>
      <c r="D187" t="s">
        <v>261</v>
      </c>
    </row>
    <row r="188" spans="1:4">
      <c r="A188" t="s">
        <v>150</v>
      </c>
      <c r="B188" t="s">
        <v>150</v>
      </c>
      <c r="C188" t="s">
        <v>325</v>
      </c>
      <c r="D188" t="s">
        <v>261</v>
      </c>
    </row>
    <row r="189" spans="1:4">
      <c r="A189" t="s">
        <v>427</v>
      </c>
      <c r="B189" t="s">
        <v>151</v>
      </c>
      <c r="C189" t="s">
        <v>325</v>
      </c>
      <c r="D189" t="s">
        <v>261</v>
      </c>
    </row>
    <row r="190" spans="1:4">
      <c r="A190" t="s">
        <v>428</v>
      </c>
      <c r="B190" t="s">
        <v>152</v>
      </c>
      <c r="C190" t="s">
        <v>325</v>
      </c>
      <c r="D190" t="s">
        <v>261</v>
      </c>
    </row>
    <row r="191" spans="1:4">
      <c r="A191" t="s">
        <v>429</v>
      </c>
      <c r="B191" t="s">
        <v>153</v>
      </c>
      <c r="C191" t="s">
        <v>325</v>
      </c>
      <c r="D191" t="s">
        <v>261</v>
      </c>
    </row>
    <row r="192" spans="1:4">
      <c r="A192" t="s">
        <v>430</v>
      </c>
      <c r="B192" t="s">
        <v>154</v>
      </c>
      <c r="C192" t="s">
        <v>325</v>
      </c>
      <c r="D192" t="s">
        <v>261</v>
      </c>
    </row>
    <row r="193" spans="1:4">
      <c r="A193" t="s">
        <v>155</v>
      </c>
      <c r="B193" t="s">
        <v>155</v>
      </c>
      <c r="C193" t="s">
        <v>325</v>
      </c>
      <c r="D193" t="s">
        <v>261</v>
      </c>
    </row>
    <row r="194" spans="1:4">
      <c r="A194" t="s">
        <v>431</v>
      </c>
      <c r="B194" t="s">
        <v>514</v>
      </c>
      <c r="C194" t="s">
        <v>325</v>
      </c>
      <c r="D194" t="s">
        <v>261</v>
      </c>
    </row>
    <row r="195" spans="1:4">
      <c r="A195" t="s">
        <v>432</v>
      </c>
      <c r="B195" t="s">
        <v>156</v>
      </c>
      <c r="C195" t="s">
        <v>325</v>
      </c>
      <c r="D195" t="s">
        <v>261</v>
      </c>
    </row>
    <row r="196" spans="1:4">
      <c r="A196" t="s">
        <v>433</v>
      </c>
      <c r="B196" t="s">
        <v>157</v>
      </c>
      <c r="C196" t="s">
        <v>325</v>
      </c>
      <c r="D196" t="s">
        <v>261</v>
      </c>
    </row>
    <row r="197" spans="1:4">
      <c r="A197" t="s">
        <v>434</v>
      </c>
      <c r="B197" t="s">
        <v>516</v>
      </c>
      <c r="C197" t="s">
        <v>325</v>
      </c>
      <c r="D197" t="s">
        <v>261</v>
      </c>
    </row>
    <row r="198" spans="1:4">
      <c r="A198" t="s">
        <v>435</v>
      </c>
      <c r="B198" t="s">
        <v>159</v>
      </c>
      <c r="C198" t="s">
        <v>325</v>
      </c>
      <c r="D198" t="s">
        <v>261</v>
      </c>
    </row>
    <row r="199" spans="1:4">
      <c r="A199" t="s">
        <v>436</v>
      </c>
      <c r="B199" t="s">
        <v>521</v>
      </c>
      <c r="C199" t="s">
        <v>325</v>
      </c>
      <c r="D199" t="s">
        <v>261</v>
      </c>
    </row>
    <row r="200" spans="1:4">
      <c r="A200" t="s">
        <v>437</v>
      </c>
      <c r="B200" t="s">
        <v>515</v>
      </c>
      <c r="C200" t="s">
        <v>325</v>
      </c>
      <c r="D200" t="s">
        <v>261</v>
      </c>
    </row>
    <row r="201" spans="1:4">
      <c r="A201" t="s">
        <v>438</v>
      </c>
      <c r="B201" t="s">
        <v>161</v>
      </c>
      <c r="C201" t="s">
        <v>325</v>
      </c>
      <c r="D201" t="s">
        <v>261</v>
      </c>
    </row>
    <row r="202" spans="1:4">
      <c r="A202" t="s">
        <v>439</v>
      </c>
      <c r="B202" t="s">
        <v>162</v>
      </c>
      <c r="C202" t="s">
        <v>325</v>
      </c>
      <c r="D202" t="s">
        <v>261</v>
      </c>
    </row>
    <row r="203" spans="1:4">
      <c r="A203" t="s">
        <v>440</v>
      </c>
      <c r="B203" t="s">
        <v>164</v>
      </c>
      <c r="C203" t="s">
        <v>325</v>
      </c>
      <c r="D203" t="s">
        <v>261</v>
      </c>
    </row>
    <row r="204" spans="1:4">
      <c r="A204" t="s">
        <v>441</v>
      </c>
      <c r="B204" t="s">
        <v>165</v>
      </c>
      <c r="C204" t="s">
        <v>325</v>
      </c>
      <c r="D204" t="s">
        <v>261</v>
      </c>
    </row>
    <row r="205" spans="1:4">
      <c r="A205" t="s">
        <v>442</v>
      </c>
      <c r="B205" t="s">
        <v>166</v>
      </c>
      <c r="C205" t="s">
        <v>325</v>
      </c>
      <c r="D205" t="s">
        <v>261</v>
      </c>
    </row>
    <row r="206" spans="1:4">
      <c r="A206" t="s">
        <v>443</v>
      </c>
      <c r="B206" t="s">
        <v>518</v>
      </c>
      <c r="C206" t="s">
        <v>325</v>
      </c>
      <c r="D206" t="s">
        <v>261</v>
      </c>
    </row>
    <row r="207" spans="1:4">
      <c r="A207" t="s">
        <v>444</v>
      </c>
      <c r="B207" t="s">
        <v>168</v>
      </c>
      <c r="C207" t="s">
        <v>325</v>
      </c>
      <c r="D207" t="s">
        <v>351</v>
      </c>
    </row>
    <row r="208" spans="1:4">
      <c r="A208" t="s">
        <v>444</v>
      </c>
      <c r="B208" t="s">
        <v>169</v>
      </c>
      <c r="C208" t="s">
        <v>325</v>
      </c>
      <c r="D208" t="s">
        <v>351</v>
      </c>
    </row>
    <row r="209" spans="1:5">
      <c r="A209" t="s">
        <v>445</v>
      </c>
      <c r="B209" t="s">
        <v>170</v>
      </c>
      <c r="C209" t="s">
        <v>325</v>
      </c>
      <c r="D209" t="s">
        <v>261</v>
      </c>
    </row>
    <row r="210" spans="1:5">
      <c r="A210" t="s">
        <v>446</v>
      </c>
      <c r="B210" t="s">
        <v>171</v>
      </c>
      <c r="C210" t="s">
        <v>325</v>
      </c>
      <c r="D210" t="s">
        <v>261</v>
      </c>
    </row>
    <row r="211" spans="1:5">
      <c r="A211" t="s">
        <v>447</v>
      </c>
      <c r="B211" t="s">
        <v>172</v>
      </c>
      <c r="C211" t="s">
        <v>325</v>
      </c>
      <c r="D211" t="s">
        <v>261</v>
      </c>
    </row>
    <row r="212" spans="1:5" ht="18.75">
      <c r="A212" s="52" t="s">
        <v>410</v>
      </c>
      <c r="B212" s="52"/>
      <c r="C212" s="52"/>
      <c r="D212" s="52"/>
      <c r="E212" s="52"/>
    </row>
    <row r="213" spans="1:5">
      <c r="A213" t="s">
        <v>378</v>
      </c>
      <c r="B213" t="s">
        <v>174</v>
      </c>
      <c r="C213" t="s">
        <v>325</v>
      </c>
      <c r="D213" t="s">
        <v>261</v>
      </c>
    </row>
    <row r="214" spans="1:5">
      <c r="A214" t="s">
        <v>379</v>
      </c>
      <c r="B214" t="s">
        <v>175</v>
      </c>
      <c r="C214" t="s">
        <v>325</v>
      </c>
      <c r="D214" t="s">
        <v>261</v>
      </c>
    </row>
    <row r="215" spans="1:5">
      <c r="A215" t="s">
        <v>380</v>
      </c>
      <c r="B215" t="s">
        <v>176</v>
      </c>
      <c r="C215" t="s">
        <v>325</v>
      </c>
      <c r="D215" t="s">
        <v>261</v>
      </c>
    </row>
    <row r="216" spans="1:5">
      <c r="A216" t="s">
        <v>381</v>
      </c>
      <c r="B216" t="s">
        <v>177</v>
      </c>
      <c r="C216" t="s">
        <v>325</v>
      </c>
      <c r="D216" t="s">
        <v>261</v>
      </c>
    </row>
    <row r="217" spans="1:5">
      <c r="A217" t="s">
        <v>382</v>
      </c>
      <c r="B217" t="s">
        <v>178</v>
      </c>
      <c r="C217" t="s">
        <v>325</v>
      </c>
      <c r="D217" t="s">
        <v>261</v>
      </c>
    </row>
    <row r="218" spans="1:5">
      <c r="A218" t="s">
        <v>383</v>
      </c>
      <c r="B218" t="s">
        <v>179</v>
      </c>
      <c r="C218" t="s">
        <v>325</v>
      </c>
      <c r="D218" t="s">
        <v>261</v>
      </c>
    </row>
    <row r="219" spans="1:5">
      <c r="A219" t="s">
        <v>384</v>
      </c>
      <c r="B219" t="s">
        <v>180</v>
      </c>
      <c r="C219" t="s">
        <v>325</v>
      </c>
      <c r="D219" t="s">
        <v>261</v>
      </c>
    </row>
    <row r="220" spans="1:5">
      <c r="A220" t="s">
        <v>385</v>
      </c>
      <c r="B220" t="s">
        <v>182</v>
      </c>
      <c r="C220" t="s">
        <v>325</v>
      </c>
      <c r="D220" t="s">
        <v>261</v>
      </c>
    </row>
    <row r="221" spans="1:5">
      <c r="A221" t="s">
        <v>386</v>
      </c>
      <c r="B221" t="s">
        <v>183</v>
      </c>
      <c r="C221" t="s">
        <v>325</v>
      </c>
      <c r="D221" t="s">
        <v>261</v>
      </c>
    </row>
    <row r="222" spans="1:5">
      <c r="A222" t="s">
        <v>387</v>
      </c>
      <c r="B222" t="s">
        <v>185</v>
      </c>
      <c r="C222" t="s">
        <v>325</v>
      </c>
      <c r="D222" t="s">
        <v>261</v>
      </c>
    </row>
    <row r="223" spans="1:5">
      <c r="A223" t="s">
        <v>388</v>
      </c>
      <c r="B223" t="s">
        <v>186</v>
      </c>
      <c r="C223" t="s">
        <v>325</v>
      </c>
      <c r="D223" t="s">
        <v>261</v>
      </c>
    </row>
    <row r="224" spans="1:5">
      <c r="A224" t="s">
        <v>389</v>
      </c>
      <c r="B224" t="s">
        <v>187</v>
      </c>
      <c r="C224" t="s">
        <v>325</v>
      </c>
      <c r="D224" t="s">
        <v>261</v>
      </c>
    </row>
    <row r="225" spans="1:4">
      <c r="A225" t="s">
        <v>390</v>
      </c>
      <c r="B225" t="s">
        <v>188</v>
      </c>
      <c r="C225" t="s">
        <v>325</v>
      </c>
      <c r="D225" t="s">
        <v>261</v>
      </c>
    </row>
    <row r="226" spans="1:4">
      <c r="A226" t="s">
        <v>391</v>
      </c>
      <c r="B226" t="s">
        <v>160</v>
      </c>
      <c r="C226" t="s">
        <v>325</v>
      </c>
      <c r="D226" t="s">
        <v>261</v>
      </c>
    </row>
    <row r="227" spans="1:4">
      <c r="A227" t="s">
        <v>392</v>
      </c>
      <c r="B227" t="s">
        <v>189</v>
      </c>
      <c r="C227" t="s">
        <v>325</v>
      </c>
      <c r="D227" t="s">
        <v>261</v>
      </c>
    </row>
    <row r="228" spans="1:4">
      <c r="A228" t="s">
        <v>393</v>
      </c>
      <c r="B228" t="s">
        <v>190</v>
      </c>
      <c r="C228" t="s">
        <v>325</v>
      </c>
      <c r="D228" t="s">
        <v>261</v>
      </c>
    </row>
    <row r="229" spans="1:4">
      <c r="A229" s="147" t="s">
        <v>523</v>
      </c>
      <c r="B229" t="s">
        <v>522</v>
      </c>
      <c r="C229" t="s">
        <v>325</v>
      </c>
      <c r="D229" t="s">
        <v>261</v>
      </c>
    </row>
    <row r="230" spans="1:4">
      <c r="A230" t="s">
        <v>394</v>
      </c>
      <c r="B230" t="s">
        <v>191</v>
      </c>
      <c r="C230" t="s">
        <v>325</v>
      </c>
      <c r="D230" t="s">
        <v>261</v>
      </c>
    </row>
    <row r="231" spans="1:4">
      <c r="A231" t="s">
        <v>395</v>
      </c>
      <c r="B231" t="s">
        <v>517</v>
      </c>
      <c r="C231" t="s">
        <v>325</v>
      </c>
      <c r="D231" t="s">
        <v>261</v>
      </c>
    </row>
    <row r="232" spans="1:4">
      <c r="A232" t="s">
        <v>396</v>
      </c>
      <c r="B232" t="s">
        <v>193</v>
      </c>
      <c r="C232" t="s">
        <v>325</v>
      </c>
      <c r="D232" t="s">
        <v>261</v>
      </c>
    </row>
    <row r="233" spans="1:4">
      <c r="A233" t="s">
        <v>397</v>
      </c>
      <c r="B233" t="s">
        <v>236</v>
      </c>
      <c r="C233" t="s">
        <v>325</v>
      </c>
      <c r="D233" t="s">
        <v>261</v>
      </c>
    </row>
    <row r="234" spans="1:4">
      <c r="A234" t="s">
        <v>398</v>
      </c>
      <c r="B234" t="s">
        <v>194</v>
      </c>
      <c r="C234" t="s">
        <v>325</v>
      </c>
      <c r="D234" t="s">
        <v>351</v>
      </c>
    </row>
    <row r="235" spans="1:4">
      <c r="A235" t="s">
        <v>398</v>
      </c>
      <c r="B235" t="s">
        <v>195</v>
      </c>
      <c r="C235" t="s">
        <v>325</v>
      </c>
      <c r="D235" t="s">
        <v>351</v>
      </c>
    </row>
    <row r="236" spans="1:4">
      <c r="A236" t="s">
        <v>399</v>
      </c>
      <c r="B236" t="s">
        <v>197</v>
      </c>
      <c r="C236" t="s">
        <v>264</v>
      </c>
      <c r="D236" t="s">
        <v>351</v>
      </c>
    </row>
    <row r="237" spans="1:4">
      <c r="A237" t="s">
        <v>400</v>
      </c>
      <c r="B237" t="s">
        <v>199</v>
      </c>
      <c r="C237" t="s">
        <v>325</v>
      </c>
      <c r="D237" t="s">
        <v>261</v>
      </c>
    </row>
    <row r="238" spans="1:4">
      <c r="A238" t="s">
        <v>430</v>
      </c>
      <c r="B238" t="s">
        <v>200</v>
      </c>
      <c r="C238" t="s">
        <v>325</v>
      </c>
      <c r="D238" t="s">
        <v>261</v>
      </c>
    </row>
    <row r="239" spans="1:4">
      <c r="A239" t="s">
        <v>401</v>
      </c>
      <c r="B239" t="s">
        <v>202</v>
      </c>
      <c r="C239" t="s">
        <v>325</v>
      </c>
      <c r="D239" t="s">
        <v>261</v>
      </c>
    </row>
    <row r="240" spans="1:4">
      <c r="A240" t="s">
        <v>203</v>
      </c>
      <c r="B240" t="s">
        <v>203</v>
      </c>
      <c r="C240" t="s">
        <v>325</v>
      </c>
      <c r="D240" t="s">
        <v>261</v>
      </c>
    </row>
    <row r="241" spans="1:4">
      <c r="A241" t="s">
        <v>402</v>
      </c>
      <c r="B241" t="s">
        <v>204</v>
      </c>
      <c r="C241" t="s">
        <v>325</v>
      </c>
      <c r="D241" t="s">
        <v>261</v>
      </c>
    </row>
    <row r="242" spans="1:4">
      <c r="A242" t="s">
        <v>403</v>
      </c>
      <c r="B242" t="s">
        <v>500</v>
      </c>
      <c r="C242" t="s">
        <v>325</v>
      </c>
      <c r="D242" t="s">
        <v>261</v>
      </c>
    </row>
    <row r="243" spans="1:4">
      <c r="A243" t="s">
        <v>404</v>
      </c>
      <c r="B243" t="s">
        <v>502</v>
      </c>
      <c r="C243" t="s">
        <v>325</v>
      </c>
      <c r="D243" t="s">
        <v>261</v>
      </c>
    </row>
    <row r="244" spans="1:4">
      <c r="A244" t="s">
        <v>405</v>
      </c>
      <c r="B244" t="s">
        <v>504</v>
      </c>
      <c r="C244" t="s">
        <v>325</v>
      </c>
      <c r="D244" t="s">
        <v>261</v>
      </c>
    </row>
    <row r="245" spans="1:4">
      <c r="A245" t="s">
        <v>406</v>
      </c>
      <c r="B245" t="s">
        <v>506</v>
      </c>
      <c r="C245" t="s">
        <v>325</v>
      </c>
      <c r="D245" t="s">
        <v>261</v>
      </c>
    </row>
    <row r="246" spans="1:4">
      <c r="A246" t="s">
        <v>407</v>
      </c>
      <c r="B246" t="s">
        <v>519</v>
      </c>
      <c r="C246" t="s">
        <v>325</v>
      </c>
      <c r="D246" t="s">
        <v>261</v>
      </c>
    </row>
    <row r="247" spans="1:4">
      <c r="A247" t="s">
        <v>408</v>
      </c>
      <c r="B247" t="s">
        <v>205</v>
      </c>
      <c r="C247" t="s">
        <v>325</v>
      </c>
      <c r="D247" t="s">
        <v>261</v>
      </c>
    </row>
    <row r="248" spans="1:4">
      <c r="A248" t="s">
        <v>409</v>
      </c>
      <c r="B248" t="s">
        <v>206</v>
      </c>
      <c r="C248" t="s">
        <v>325</v>
      </c>
      <c r="D248" t="s">
        <v>261</v>
      </c>
    </row>
  </sheetData>
  <autoFilter ref="A1:E248"/>
  <mergeCells count="1">
    <mergeCell ref="A2:E2"/>
  </mergeCells>
  <conditionalFormatting sqref="B1:B99 B10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46"/>
  <sheetViews>
    <sheetView showGridLines="0" topLeftCell="E9" zoomScale="85" zoomScaleNormal="85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65" t="s">
        <v>242</v>
      </c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53" t="s">
        <v>529</v>
      </c>
    </row>
    <row r="11" spans="7:18" ht="34.5" customHeight="1">
      <c r="G11" s="8" t="s">
        <v>3</v>
      </c>
      <c r="H11" s="145" t="s">
        <v>50</v>
      </c>
      <c r="I11" s="145" t="s">
        <v>51</v>
      </c>
      <c r="J11" s="145" t="str">
        <f>IF(COUNTA('Governmental Fund Balance Sheet'!J11),'Governmental Fund Balance Sheet'!J11,"")</f>
        <v>Ship</v>
      </c>
      <c r="K11" s="145" t="str">
        <f>IF(COUNTA('Governmental Fund Balance Sheet'!K11),'Governmental Fund Balance Sheet'!K11,"")</f>
        <v>Home</v>
      </c>
      <c r="L11" s="145" t="str">
        <f>IF(COUNTA('Governmental Fund Balance Sheet'!L11),'Governmental Fund Balance Sheet'!L11,"")</f>
        <v>CDBG</v>
      </c>
      <c r="M11" s="145" t="str">
        <f>IF(COUNTA('Governmental Fund Balance Sheet'!M11),'Governmental Fund Balance Sheet'!M11,"")</f>
        <v>Others</v>
      </c>
      <c r="N11" s="145" t="str">
        <f>IF(COUNTA('Governmental Fund Balance Sheet'!N11),'Governmental Fund Balance Sheet'!N11,"")</f>
        <v/>
      </c>
      <c r="O11" s="145" t="str">
        <f>IF(COUNTA('Governmental Fund Balance Sheet'!O11),'Governmental Fund Balance Sheet'!O11,"")</f>
        <v/>
      </c>
      <c r="P11" s="145" t="str">
        <f>IF(COUNTA('Governmental Fund Balance Sheet'!P11),'Governmental Fund Balance Sheet'!P11,"")</f>
        <v/>
      </c>
      <c r="Q11" s="145" t="str">
        <f>IF(COUNTA('Governmental Fund Balance Sheet'!Q11),'Governmental Fund Balance Sheet'!Q11,"")</f>
        <v/>
      </c>
      <c r="R11" s="8" t="s">
        <v>52</v>
      </c>
    </row>
    <row r="12" spans="7:18">
      <c r="G12" s="5" t="s">
        <v>77</v>
      </c>
      <c r="H12" s="141"/>
      <c r="I12" s="142"/>
      <c r="J12" s="142"/>
      <c r="K12" s="142"/>
      <c r="L12" s="142"/>
      <c r="M12" s="142"/>
      <c r="N12" s="142"/>
      <c r="O12" s="142"/>
      <c r="P12" s="142"/>
      <c r="Q12" s="142"/>
      <c r="R12" s="143"/>
    </row>
    <row r="13" spans="7:18">
      <c r="G13" s="24" t="s">
        <v>476</v>
      </c>
      <c r="H13" s="72">
        <v>30988322</v>
      </c>
      <c r="I13" s="72">
        <v>7054974</v>
      </c>
      <c r="J13" s="72">
        <v>0</v>
      </c>
      <c r="K13" s="72">
        <v>0</v>
      </c>
      <c r="L13" s="72">
        <v>0</v>
      </c>
      <c r="M13" s="72">
        <v>709962</v>
      </c>
      <c r="N13" s="72"/>
      <c r="O13" s="72"/>
      <c r="P13" s="72"/>
      <c r="Q13" s="72"/>
      <c r="R13" s="77">
        <f>IF(COUNT(H13:Q13),SUM(H13:Q13),"")</f>
        <v>38753258</v>
      </c>
    </row>
    <row r="14" spans="7:18">
      <c r="G14" s="35" t="s">
        <v>78</v>
      </c>
      <c r="H14" s="73">
        <v>5756459</v>
      </c>
      <c r="I14" s="73">
        <v>0</v>
      </c>
      <c r="J14" s="73">
        <v>0</v>
      </c>
      <c r="K14" s="73">
        <v>0</v>
      </c>
      <c r="L14" s="73">
        <v>0</v>
      </c>
      <c r="M14" s="73">
        <v>1963790</v>
      </c>
      <c r="N14" s="73"/>
      <c r="O14" s="73"/>
      <c r="P14" s="73"/>
      <c r="Q14" s="73"/>
      <c r="R14" s="74">
        <f t="shared" ref="R14:R22" si="0">IF(COUNT(H14:Q14),SUM(H14:Q14),"")</f>
        <v>7720249</v>
      </c>
    </row>
    <row r="15" spans="7:18">
      <c r="G15" s="35" t="s">
        <v>493</v>
      </c>
      <c r="H15" s="73">
        <v>9930439</v>
      </c>
      <c r="I15" s="73">
        <v>861933</v>
      </c>
      <c r="J15" s="73">
        <v>387272</v>
      </c>
      <c r="K15" s="73">
        <v>125936</v>
      </c>
      <c r="L15" s="73">
        <v>596186</v>
      </c>
      <c r="M15" s="73">
        <v>1468815</v>
      </c>
      <c r="N15" s="73"/>
      <c r="O15" s="73"/>
      <c r="P15" s="73"/>
      <c r="Q15" s="73"/>
      <c r="R15" s="74">
        <f t="shared" si="0"/>
        <v>13370581</v>
      </c>
    </row>
    <row r="16" spans="7:18">
      <c r="G16" s="35" t="s">
        <v>79</v>
      </c>
      <c r="H16" s="73">
        <v>13521639</v>
      </c>
      <c r="I16" s="73">
        <v>0</v>
      </c>
      <c r="J16" s="73">
        <v>0</v>
      </c>
      <c r="K16" s="73">
        <v>0</v>
      </c>
      <c r="L16" s="73">
        <v>0</v>
      </c>
      <c r="M16" s="73">
        <v>5587354</v>
      </c>
      <c r="N16" s="73"/>
      <c r="O16" s="73"/>
      <c r="P16" s="73"/>
      <c r="Q16" s="73"/>
      <c r="R16" s="74">
        <f t="shared" si="0"/>
        <v>19108993</v>
      </c>
    </row>
    <row r="17" spans="7:18">
      <c r="G17" s="35" t="s">
        <v>80</v>
      </c>
      <c r="H17" s="73">
        <v>390270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/>
      <c r="O17" s="73"/>
      <c r="P17" s="73"/>
      <c r="Q17" s="73"/>
      <c r="R17" s="74">
        <f t="shared" si="0"/>
        <v>390270</v>
      </c>
    </row>
    <row r="18" spans="7:18">
      <c r="G18" s="35" t="s">
        <v>81</v>
      </c>
      <c r="H18" s="73">
        <v>3194537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/>
      <c r="O18" s="73"/>
      <c r="P18" s="73"/>
      <c r="Q18" s="73"/>
      <c r="R18" s="74">
        <f t="shared" si="0"/>
        <v>3194537</v>
      </c>
    </row>
    <row r="19" spans="7:18">
      <c r="G19" s="35" t="s">
        <v>82</v>
      </c>
      <c r="H19" s="73">
        <v>15000</v>
      </c>
      <c r="I19" s="73">
        <v>0</v>
      </c>
      <c r="J19" s="73">
        <v>87774</v>
      </c>
      <c r="K19" s="73">
        <v>0</v>
      </c>
      <c r="L19" s="73">
        <v>111012</v>
      </c>
      <c r="M19" s="73">
        <v>196021</v>
      </c>
      <c r="N19" s="73"/>
      <c r="O19" s="73"/>
      <c r="P19" s="73"/>
      <c r="Q19" s="73"/>
      <c r="R19" s="74">
        <f t="shared" si="0"/>
        <v>409807</v>
      </c>
    </row>
    <row r="20" spans="7:18">
      <c r="G20" s="35" t="s">
        <v>83</v>
      </c>
      <c r="H20" s="73">
        <v>144168</v>
      </c>
      <c r="I20" s="73">
        <v>0</v>
      </c>
      <c r="J20" s="73">
        <v>0</v>
      </c>
      <c r="K20" s="73">
        <v>0</v>
      </c>
      <c r="L20" s="73">
        <v>0</v>
      </c>
      <c r="M20" s="73">
        <v>167750</v>
      </c>
      <c r="N20" s="73"/>
      <c r="O20" s="73"/>
      <c r="P20" s="73"/>
      <c r="Q20" s="73"/>
      <c r="R20" s="74">
        <f t="shared" si="0"/>
        <v>311918</v>
      </c>
    </row>
    <row r="21" spans="7:18">
      <c r="G21" s="35" t="s">
        <v>84</v>
      </c>
      <c r="H21" s="73">
        <v>146953</v>
      </c>
      <c r="I21" s="73">
        <v>58171</v>
      </c>
      <c r="J21" s="73">
        <v>15347</v>
      </c>
      <c r="K21" s="73">
        <v>0</v>
      </c>
      <c r="L21" s="73">
        <v>8933</v>
      </c>
      <c r="M21" s="73">
        <v>187793</v>
      </c>
      <c r="N21" s="73"/>
      <c r="O21" s="73"/>
      <c r="P21" s="73"/>
      <c r="Q21" s="73"/>
      <c r="R21" s="74">
        <f t="shared" si="0"/>
        <v>417197</v>
      </c>
    </row>
    <row r="22" spans="7:18">
      <c r="G22" s="36" t="s">
        <v>512</v>
      </c>
      <c r="H22" s="75">
        <v>413506</v>
      </c>
      <c r="I22" s="75">
        <v>238421</v>
      </c>
      <c r="J22" s="75">
        <v>193550</v>
      </c>
      <c r="K22" s="75">
        <v>0</v>
      </c>
      <c r="L22" s="75">
        <v>178808</v>
      </c>
      <c r="M22" s="75">
        <v>158214</v>
      </c>
      <c r="N22" s="75"/>
      <c r="O22" s="75"/>
      <c r="P22" s="75"/>
      <c r="Q22" s="75"/>
      <c r="R22" s="76">
        <f t="shared" si="0"/>
        <v>1182499</v>
      </c>
    </row>
    <row r="23" spans="7:18">
      <c r="G23" s="11" t="s">
        <v>85</v>
      </c>
      <c r="H23" s="78">
        <f>IF(COUNT(H13:H22),SUM(H13:H22),"")</f>
        <v>64501293</v>
      </c>
      <c r="I23" s="78">
        <f t="shared" ref="I23:R23" si="1">IF(COUNT(I13:I22),SUM(I13:I22),"")</f>
        <v>8213499</v>
      </c>
      <c r="J23" s="78">
        <f t="shared" si="1"/>
        <v>683943</v>
      </c>
      <c r="K23" s="78">
        <f t="shared" si="1"/>
        <v>125936</v>
      </c>
      <c r="L23" s="78">
        <f t="shared" si="1"/>
        <v>894939</v>
      </c>
      <c r="M23" s="78">
        <f t="shared" si="1"/>
        <v>10439699</v>
      </c>
      <c r="N23" s="78" t="str">
        <f t="shared" si="1"/>
        <v/>
      </c>
      <c r="O23" s="78" t="str">
        <f t="shared" si="1"/>
        <v/>
      </c>
      <c r="P23" s="78" t="str">
        <f t="shared" si="1"/>
        <v/>
      </c>
      <c r="Q23" s="78" t="str">
        <f t="shared" si="1"/>
        <v/>
      </c>
      <c r="R23" s="78">
        <f t="shared" si="1"/>
        <v>84859309</v>
      </c>
    </row>
    <row r="24" spans="7:18">
      <c r="G24" s="5" t="s">
        <v>86</v>
      </c>
      <c r="H24" s="162"/>
      <c r="I24" s="163"/>
      <c r="J24" s="163"/>
      <c r="K24" s="163"/>
      <c r="L24" s="163"/>
      <c r="M24" s="163"/>
      <c r="N24" s="163"/>
      <c r="O24" s="163"/>
      <c r="P24" s="163"/>
      <c r="Q24" s="163"/>
      <c r="R24" s="164"/>
    </row>
    <row r="25" spans="7:18">
      <c r="G25" s="7" t="s">
        <v>87</v>
      </c>
      <c r="H25" s="162"/>
      <c r="I25" s="163"/>
      <c r="J25" s="163"/>
      <c r="K25" s="163"/>
      <c r="L25" s="163"/>
      <c r="M25" s="163"/>
      <c r="N25" s="163"/>
      <c r="O25" s="163"/>
      <c r="P25" s="163"/>
      <c r="Q25" s="163"/>
      <c r="R25" s="164"/>
    </row>
    <row r="26" spans="7:18">
      <c r="G26" s="40" t="s">
        <v>88</v>
      </c>
      <c r="H26" s="72">
        <v>6627846</v>
      </c>
      <c r="I26" s="72">
        <v>0</v>
      </c>
      <c r="J26" s="72">
        <v>0</v>
      </c>
      <c r="K26" s="72">
        <v>0</v>
      </c>
      <c r="L26" s="72">
        <v>2982</v>
      </c>
      <c r="M26" s="72">
        <v>116626</v>
      </c>
      <c r="N26" s="72"/>
      <c r="O26" s="72"/>
      <c r="P26" s="72"/>
      <c r="Q26" s="72"/>
      <c r="R26" s="77">
        <f t="shared" ref="R26:R30" si="2">IF(COUNT(H26:Q26),SUM(H26:Q26),"")</f>
        <v>6747454</v>
      </c>
    </row>
    <row r="27" spans="7:18">
      <c r="G27" s="41" t="s">
        <v>89</v>
      </c>
      <c r="H27" s="73">
        <v>36395712</v>
      </c>
      <c r="I27" s="73">
        <v>0</v>
      </c>
      <c r="J27" s="73">
        <v>0</v>
      </c>
      <c r="K27" s="73">
        <v>0</v>
      </c>
      <c r="L27" s="73">
        <v>0</v>
      </c>
      <c r="M27" s="73">
        <v>91334</v>
      </c>
      <c r="N27" s="73"/>
      <c r="O27" s="73"/>
      <c r="P27" s="73"/>
      <c r="Q27" s="73"/>
      <c r="R27" s="74">
        <f t="shared" si="2"/>
        <v>36487046</v>
      </c>
    </row>
    <row r="28" spans="7:18">
      <c r="G28" s="41" t="s">
        <v>494</v>
      </c>
      <c r="H28" s="73">
        <v>3803452</v>
      </c>
      <c r="I28" s="73">
        <v>0</v>
      </c>
      <c r="J28" s="73">
        <v>0</v>
      </c>
      <c r="K28" s="73">
        <v>0</v>
      </c>
      <c r="L28" s="73">
        <v>0</v>
      </c>
      <c r="M28" s="73">
        <v>3435341</v>
      </c>
      <c r="N28" s="73"/>
      <c r="O28" s="73"/>
      <c r="P28" s="73"/>
      <c r="Q28" s="73"/>
      <c r="R28" s="74">
        <f t="shared" si="2"/>
        <v>7238793</v>
      </c>
    </row>
    <row r="29" spans="7:18">
      <c r="G29" s="41" t="s">
        <v>495</v>
      </c>
      <c r="H29" s="73">
        <v>2048663</v>
      </c>
      <c r="I29" s="73">
        <v>0</v>
      </c>
      <c r="J29" s="73">
        <v>604417</v>
      </c>
      <c r="K29" s="73">
        <v>125936</v>
      </c>
      <c r="L29" s="73">
        <v>891957</v>
      </c>
      <c r="M29" s="73">
        <v>1655997</v>
      </c>
      <c r="N29" s="73"/>
      <c r="O29" s="73"/>
      <c r="P29" s="73"/>
      <c r="Q29" s="73"/>
      <c r="R29" s="74">
        <f t="shared" si="2"/>
        <v>5326970</v>
      </c>
    </row>
    <row r="30" spans="7:18">
      <c r="G30" s="42" t="s">
        <v>91</v>
      </c>
      <c r="H30" s="75">
        <v>12883810</v>
      </c>
      <c r="I30" s="75">
        <v>0</v>
      </c>
      <c r="J30" s="75">
        <v>0</v>
      </c>
      <c r="K30" s="75">
        <v>0</v>
      </c>
      <c r="L30" s="75">
        <v>0</v>
      </c>
      <c r="M30" s="75">
        <v>308084</v>
      </c>
      <c r="N30" s="75"/>
      <c r="O30" s="75"/>
      <c r="P30" s="75"/>
      <c r="Q30" s="75"/>
      <c r="R30" s="76">
        <f t="shared" si="2"/>
        <v>13191894</v>
      </c>
    </row>
    <row r="31" spans="7:18">
      <c r="G31" s="11" t="s">
        <v>92</v>
      </c>
      <c r="H31" s="78">
        <f>IF(COUNT(H26:H30),SUM(H26:H30),"")</f>
        <v>61759483</v>
      </c>
      <c r="I31" s="78">
        <f t="shared" ref="I31:R31" si="3">IF(COUNT(I26:I30),SUM(I26:I30),"")</f>
        <v>0</v>
      </c>
      <c r="J31" s="78">
        <f t="shared" si="3"/>
        <v>604417</v>
      </c>
      <c r="K31" s="78">
        <f t="shared" si="3"/>
        <v>125936</v>
      </c>
      <c r="L31" s="78">
        <f t="shared" si="3"/>
        <v>894939</v>
      </c>
      <c r="M31" s="78">
        <f t="shared" si="3"/>
        <v>5607382</v>
      </c>
      <c r="N31" s="78" t="str">
        <f t="shared" si="3"/>
        <v/>
      </c>
      <c r="O31" s="78" t="str">
        <f t="shared" si="3"/>
        <v/>
      </c>
      <c r="P31" s="78" t="str">
        <f t="shared" si="3"/>
        <v/>
      </c>
      <c r="Q31" s="78" t="str">
        <f t="shared" si="3"/>
        <v/>
      </c>
      <c r="R31" s="78">
        <f t="shared" si="3"/>
        <v>68992157</v>
      </c>
    </row>
    <row r="32" spans="7:18">
      <c r="G32" s="43" t="s">
        <v>93</v>
      </c>
      <c r="H32" s="91">
        <v>1899080</v>
      </c>
      <c r="I32" s="91">
        <v>3452415</v>
      </c>
      <c r="J32" s="91">
        <v>0</v>
      </c>
      <c r="K32" s="91">
        <v>0</v>
      </c>
      <c r="L32" s="91">
        <v>0</v>
      </c>
      <c r="M32" s="91">
        <v>2434667</v>
      </c>
      <c r="N32" s="91"/>
      <c r="O32" s="91"/>
      <c r="P32" s="91"/>
      <c r="Q32" s="91"/>
      <c r="R32" s="94">
        <f t="shared" ref="R32" si="4">IF(COUNT(H32:Q32),SUM(H32:Q32),"")</f>
        <v>7786162</v>
      </c>
    </row>
    <row r="33" spans="7:18">
      <c r="G33" s="7" t="s">
        <v>94</v>
      </c>
      <c r="H33" s="162"/>
      <c r="I33" s="163"/>
      <c r="J33" s="163"/>
      <c r="K33" s="163"/>
      <c r="L33" s="163"/>
      <c r="M33" s="163"/>
      <c r="N33" s="163"/>
      <c r="O33" s="163"/>
      <c r="P33" s="163"/>
      <c r="Q33" s="163"/>
      <c r="R33" s="164"/>
    </row>
    <row r="34" spans="7:18">
      <c r="G34" s="40" t="s">
        <v>95</v>
      </c>
      <c r="H34" s="72">
        <v>0</v>
      </c>
      <c r="I34" s="72">
        <v>3213636</v>
      </c>
      <c r="J34" s="72">
        <v>0</v>
      </c>
      <c r="K34" s="72">
        <v>0</v>
      </c>
      <c r="L34" s="72">
        <v>0</v>
      </c>
      <c r="M34" s="72">
        <v>0</v>
      </c>
      <c r="N34" s="72"/>
      <c r="O34" s="72"/>
      <c r="P34" s="72"/>
      <c r="Q34" s="72"/>
      <c r="R34" s="77">
        <f t="shared" ref="R34:R35" si="5">IF(COUNT(H34:Q34),SUM(H34:Q34),"")</f>
        <v>3213636</v>
      </c>
    </row>
    <row r="35" spans="7:18">
      <c r="G35" s="42" t="s">
        <v>482</v>
      </c>
      <c r="H35" s="75">
        <v>0</v>
      </c>
      <c r="I35" s="75">
        <v>320856</v>
      </c>
      <c r="J35" s="75">
        <v>0</v>
      </c>
      <c r="K35" s="75">
        <v>0</v>
      </c>
      <c r="L35" s="75">
        <v>0</v>
      </c>
      <c r="M35" s="75">
        <v>0</v>
      </c>
      <c r="N35" s="75"/>
      <c r="O35" s="75"/>
      <c r="P35" s="75"/>
      <c r="Q35" s="75"/>
      <c r="R35" s="76">
        <f t="shared" si="5"/>
        <v>320856</v>
      </c>
    </row>
    <row r="36" spans="7:18">
      <c r="G36" s="11" t="s">
        <v>96</v>
      </c>
      <c r="H36" s="78">
        <f>IF(COUNT(H34:H35),SUM(H34:H35),"")</f>
        <v>0</v>
      </c>
      <c r="I36" s="78">
        <f t="shared" ref="I36:L36" si="6">IF(COUNT(I34:I35),SUM(I34:I35),"")</f>
        <v>3534492</v>
      </c>
      <c r="J36" s="78">
        <f t="shared" si="6"/>
        <v>0</v>
      </c>
      <c r="K36" s="78">
        <f t="shared" si="6"/>
        <v>0</v>
      </c>
      <c r="L36" s="78">
        <f t="shared" si="6"/>
        <v>0</v>
      </c>
      <c r="M36" s="78">
        <f t="shared" ref="M36:R36" si="7">IF(COUNT(M34:M35),SUM(M34:M35),"")</f>
        <v>0</v>
      </c>
      <c r="N36" s="78" t="str">
        <f t="shared" si="7"/>
        <v/>
      </c>
      <c r="O36" s="78" t="str">
        <f t="shared" si="7"/>
        <v/>
      </c>
      <c r="P36" s="78" t="str">
        <f t="shared" si="7"/>
        <v/>
      </c>
      <c r="Q36" s="78" t="str">
        <f t="shared" si="7"/>
        <v/>
      </c>
      <c r="R36" s="78">
        <f t="shared" si="7"/>
        <v>3534492</v>
      </c>
    </row>
    <row r="37" spans="7:18">
      <c r="G37" s="11" t="s">
        <v>97</v>
      </c>
      <c r="H37" s="78">
        <f>IF(COUNT(H31,H32,H36),SUM(H31,H32,H36),"")</f>
        <v>63658563</v>
      </c>
      <c r="I37" s="78">
        <f t="shared" ref="I37:L37" si="8">IF(COUNT(I31,I32,I36),SUM(I31,I32,I36),"")</f>
        <v>6986907</v>
      </c>
      <c r="J37" s="78">
        <f t="shared" si="8"/>
        <v>604417</v>
      </c>
      <c r="K37" s="78">
        <f t="shared" si="8"/>
        <v>125936</v>
      </c>
      <c r="L37" s="78">
        <f t="shared" si="8"/>
        <v>894939</v>
      </c>
      <c r="M37" s="78">
        <f t="shared" ref="M37:R37" si="9">IF(COUNT(M31,M32,M36),SUM(M31,M32,M36),"")</f>
        <v>8042049</v>
      </c>
      <c r="N37" s="78" t="str">
        <f t="shared" si="9"/>
        <v/>
      </c>
      <c r="O37" s="78" t="str">
        <f t="shared" si="9"/>
        <v/>
      </c>
      <c r="P37" s="78" t="str">
        <f t="shared" si="9"/>
        <v/>
      </c>
      <c r="Q37" s="78" t="str">
        <f t="shared" si="9"/>
        <v/>
      </c>
      <c r="R37" s="78">
        <f t="shared" si="9"/>
        <v>80312811</v>
      </c>
    </row>
    <row r="38" spans="7:18" ht="30">
      <c r="G38" s="12" t="s">
        <v>98</v>
      </c>
      <c r="H38" s="78">
        <f>IF(COUNT(H23,H37),SUM(H23)-SUM(H37),"")</f>
        <v>842730</v>
      </c>
      <c r="I38" s="78">
        <f t="shared" ref="I38:L38" si="10">IF(COUNT(I23,I37),SUM(I23)-SUM(I37),"")</f>
        <v>1226592</v>
      </c>
      <c r="J38" s="78">
        <f t="shared" si="10"/>
        <v>79526</v>
      </c>
      <c r="K38" s="78">
        <f t="shared" si="10"/>
        <v>0</v>
      </c>
      <c r="L38" s="78">
        <f t="shared" si="10"/>
        <v>0</v>
      </c>
      <c r="M38" s="78">
        <f t="shared" ref="M38:R38" si="11">IF(COUNT(M23,M37),SUM(M23)-SUM(M37),"")</f>
        <v>2397650</v>
      </c>
      <c r="N38" s="78" t="str">
        <f t="shared" si="11"/>
        <v/>
      </c>
      <c r="O38" s="78" t="str">
        <f t="shared" si="11"/>
        <v/>
      </c>
      <c r="P38" s="78" t="str">
        <f t="shared" si="11"/>
        <v/>
      </c>
      <c r="Q38" s="78" t="str">
        <f t="shared" si="11"/>
        <v/>
      </c>
      <c r="R38" s="78">
        <f t="shared" si="11"/>
        <v>4546498</v>
      </c>
    </row>
    <row r="39" spans="7:18">
      <c r="G39" s="5" t="s">
        <v>99</v>
      </c>
      <c r="H39" s="162"/>
      <c r="I39" s="163"/>
      <c r="J39" s="163"/>
      <c r="K39" s="163"/>
      <c r="L39" s="163"/>
      <c r="M39" s="163"/>
      <c r="N39" s="163"/>
      <c r="O39" s="163"/>
      <c r="P39" s="163"/>
      <c r="Q39" s="163"/>
      <c r="R39" s="164"/>
    </row>
    <row r="40" spans="7:18">
      <c r="G40" s="30" t="s">
        <v>100</v>
      </c>
      <c r="H40" s="72">
        <v>0</v>
      </c>
      <c r="I40" s="72">
        <v>0</v>
      </c>
      <c r="J40" s="72">
        <v>0</v>
      </c>
      <c r="K40" s="72">
        <v>0</v>
      </c>
      <c r="L40" s="72">
        <v>0</v>
      </c>
      <c r="M40" s="72">
        <v>90000</v>
      </c>
      <c r="N40" s="72"/>
      <c r="O40" s="72"/>
      <c r="P40" s="72"/>
      <c r="Q40" s="72"/>
      <c r="R40" s="77">
        <f t="shared" ref="R40:R41" si="12">IF(COUNT(H40:Q40),SUM(H40:Q40),"")</f>
        <v>90000</v>
      </c>
    </row>
    <row r="41" spans="7:18">
      <c r="G41" s="32" t="s">
        <v>101</v>
      </c>
      <c r="H41" s="75">
        <v>0</v>
      </c>
      <c r="I41" s="75">
        <v>0</v>
      </c>
      <c r="J41" s="75">
        <v>0</v>
      </c>
      <c r="K41" s="75">
        <v>0</v>
      </c>
      <c r="L41" s="75">
        <v>0</v>
      </c>
      <c r="M41" s="75">
        <v>45000</v>
      </c>
      <c r="N41" s="75"/>
      <c r="O41" s="75"/>
      <c r="P41" s="75"/>
      <c r="Q41" s="75"/>
      <c r="R41" s="76">
        <f t="shared" si="12"/>
        <v>45000</v>
      </c>
    </row>
    <row r="42" spans="7:18">
      <c r="G42" s="13" t="s">
        <v>102</v>
      </c>
      <c r="H42" s="78">
        <f>IF(COUNT(H40:H41),SUM(H40)-SUM(H41),"")</f>
        <v>0</v>
      </c>
      <c r="I42" s="78">
        <f t="shared" ref="I42:K42" si="13">IF(COUNT(I40:I41),SUM(I40)-SUM(I41),"")</f>
        <v>0</v>
      </c>
      <c r="J42" s="78">
        <f t="shared" si="13"/>
        <v>0</v>
      </c>
      <c r="K42" s="78">
        <f t="shared" si="13"/>
        <v>0</v>
      </c>
      <c r="L42" s="78">
        <f t="shared" ref="L42:R42" si="14">IF(COUNT(L40:L41),SUM(L40)-SUM(L41),"")</f>
        <v>0</v>
      </c>
      <c r="M42" s="78">
        <f t="shared" si="14"/>
        <v>45000</v>
      </c>
      <c r="N42" s="78" t="str">
        <f t="shared" si="14"/>
        <v/>
      </c>
      <c r="O42" s="78" t="str">
        <f t="shared" si="14"/>
        <v/>
      </c>
      <c r="P42" s="78" t="str">
        <f t="shared" si="14"/>
        <v/>
      </c>
      <c r="Q42" s="78" t="str">
        <f t="shared" si="14"/>
        <v/>
      </c>
      <c r="R42" s="78">
        <f t="shared" si="14"/>
        <v>45000</v>
      </c>
    </row>
    <row r="43" spans="7:18">
      <c r="G43" s="13" t="s">
        <v>103</v>
      </c>
      <c r="H43" s="78">
        <f>IF(COUNT(H38,H42),SUM(H38,H42),"")</f>
        <v>842730</v>
      </c>
      <c r="I43" s="78">
        <f t="shared" ref="I43:K43" si="15">IF(COUNT(I38,I42),SUM(I38,I42),"")</f>
        <v>1226592</v>
      </c>
      <c r="J43" s="78">
        <f t="shared" si="15"/>
        <v>79526</v>
      </c>
      <c r="K43" s="78">
        <f t="shared" si="15"/>
        <v>0</v>
      </c>
      <c r="L43" s="78">
        <f t="shared" ref="L43:R43" si="16">IF(COUNT(L38,L42),SUM(L38,L42),"")</f>
        <v>0</v>
      </c>
      <c r="M43" s="78">
        <f t="shared" si="16"/>
        <v>2442650</v>
      </c>
      <c r="N43" s="78" t="str">
        <f t="shared" si="16"/>
        <v/>
      </c>
      <c r="O43" s="78" t="str">
        <f t="shared" si="16"/>
        <v/>
      </c>
      <c r="P43" s="78" t="str">
        <f t="shared" si="16"/>
        <v/>
      </c>
      <c r="Q43" s="78" t="str">
        <f t="shared" si="16"/>
        <v/>
      </c>
      <c r="R43" s="78">
        <f t="shared" si="16"/>
        <v>4591498</v>
      </c>
    </row>
    <row r="44" spans="7:18">
      <c r="G44" s="18" t="s">
        <v>104</v>
      </c>
      <c r="H44" s="91">
        <v>11831075</v>
      </c>
      <c r="I44" s="91">
        <v>8873163</v>
      </c>
      <c r="J44" s="91">
        <v>483567</v>
      </c>
      <c r="K44" s="91">
        <v>0</v>
      </c>
      <c r="L44" s="91">
        <v>0</v>
      </c>
      <c r="M44" s="91">
        <v>22372194</v>
      </c>
      <c r="N44" s="91"/>
      <c r="O44" s="91"/>
      <c r="P44" s="91"/>
      <c r="Q44" s="91"/>
      <c r="R44" s="94">
        <f t="shared" ref="R44" si="17">IF(COUNT(H44:Q44),SUM(H44:Q44),"")</f>
        <v>43559999</v>
      </c>
    </row>
    <row r="45" spans="7:18">
      <c r="G45" s="13" t="s">
        <v>105</v>
      </c>
      <c r="H45" s="95">
        <f>IF(COUNT(H43:H44),SUM(H43:H44),"")</f>
        <v>12673805</v>
      </c>
      <c r="I45" s="95">
        <f t="shared" ref="I45:R45" si="18">IF(COUNT(I43:I44),SUM(I43:I44),"")</f>
        <v>10099755</v>
      </c>
      <c r="J45" s="95">
        <f t="shared" si="18"/>
        <v>563093</v>
      </c>
      <c r="K45" s="95">
        <f t="shared" si="18"/>
        <v>0</v>
      </c>
      <c r="L45" s="95">
        <f t="shared" si="18"/>
        <v>0</v>
      </c>
      <c r="M45" s="95">
        <f t="shared" si="18"/>
        <v>24814844</v>
      </c>
      <c r="N45" s="95" t="str">
        <f t="shared" si="18"/>
        <v/>
      </c>
      <c r="O45" s="95" t="str">
        <f t="shared" si="18"/>
        <v/>
      </c>
      <c r="P45" s="95" t="str">
        <f t="shared" si="18"/>
        <v/>
      </c>
      <c r="Q45" s="95" t="str">
        <f t="shared" si="18"/>
        <v/>
      </c>
      <c r="R45" s="95">
        <f t="shared" si="18"/>
        <v>48151497</v>
      </c>
    </row>
    <row r="46" spans="7:18"/>
  </sheetData>
  <sheetProtection algorithmName="SHA-512" hashValue="0JSdUwReYzVdUBarg8M7OEo/ke44+zgzAvAKN3y/sY/0P75k2gg1FSMWFZdJ9o+Oo1yzhwUubUZlfawjnWm1tQ==" saltValue="4Ffafyz0PM+O02bGp3JDZw==" spinCount="100000" sheet="1" objects="1" scenarios="1"/>
  <mergeCells count="5">
    <mergeCell ref="G10:Q10"/>
    <mergeCell ref="H24:R24"/>
    <mergeCell ref="H25:R25"/>
    <mergeCell ref="H33:R33"/>
    <mergeCell ref="H39:R39"/>
  </mergeCells>
  <dataValidations count="2">
    <dataValidation type="whole" allowBlank="1" showInputMessage="1" showErrorMessage="1" sqref="H40:R45 H26:R32 H13:R23 H34:R38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9.85546875" style="17" bestFit="1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85546875" style="17" bestFit="1" customWidth="1"/>
    <col min="13" max="13" width="2.5703125" customWidth="1"/>
    <col min="14" max="14" width="2.28515625" customWidth="1"/>
    <col min="15" max="16383" width="9.140625" hidden="1"/>
    <col min="16384" max="16384" width="2.57031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6.25" customHeight="1">
      <c r="G10" s="165" t="s">
        <v>243</v>
      </c>
      <c r="H10" s="166"/>
      <c r="I10" s="166"/>
      <c r="J10" s="166"/>
      <c r="K10" s="167"/>
      <c r="L10" s="154" t="s">
        <v>529</v>
      </c>
    </row>
    <row r="11" spans="7:12" ht="25.5" customHeight="1">
      <c r="G11" s="168" t="s">
        <v>3</v>
      </c>
      <c r="H11" s="165" t="s">
        <v>106</v>
      </c>
      <c r="I11" s="166"/>
      <c r="J11" s="166"/>
      <c r="K11" s="167"/>
      <c r="L11" s="168" t="s">
        <v>108</v>
      </c>
    </row>
    <row r="12" spans="7:12" ht="30">
      <c r="G12" s="169"/>
      <c r="H12" s="8" t="s">
        <v>232</v>
      </c>
      <c r="I12" s="8" t="s">
        <v>217</v>
      </c>
      <c r="J12" s="8" t="s">
        <v>218</v>
      </c>
      <c r="K12" s="8" t="s">
        <v>107</v>
      </c>
      <c r="L12" s="169"/>
    </row>
    <row r="13" spans="7:12">
      <c r="G13" s="5" t="s">
        <v>4</v>
      </c>
      <c r="H13" s="170"/>
      <c r="I13" s="171"/>
      <c r="J13" s="171"/>
      <c r="K13" s="171"/>
      <c r="L13" s="172"/>
    </row>
    <row r="14" spans="7:12">
      <c r="G14" s="7" t="s">
        <v>109</v>
      </c>
      <c r="H14" s="170"/>
      <c r="I14" s="171"/>
      <c r="J14" s="171"/>
      <c r="K14" s="171"/>
      <c r="L14" s="172"/>
    </row>
    <row r="15" spans="7:12">
      <c r="G15" s="96" t="s">
        <v>496</v>
      </c>
      <c r="H15" s="72">
        <v>16559531</v>
      </c>
      <c r="I15" s="72">
        <v>6643911</v>
      </c>
      <c r="J15" s="72">
        <v>421968</v>
      </c>
      <c r="K15" s="109">
        <f t="shared" ref="K15:K37" si="0">IF(COUNT(H15:J15),SUM(H15:J15),"")</f>
        <v>23625410</v>
      </c>
      <c r="L15" s="110">
        <v>5907363</v>
      </c>
    </row>
    <row r="16" spans="7:12">
      <c r="G16" s="97" t="s">
        <v>110</v>
      </c>
      <c r="H16" s="73">
        <v>308030</v>
      </c>
      <c r="I16" s="73">
        <v>48301</v>
      </c>
      <c r="J16" s="73">
        <v>3223</v>
      </c>
      <c r="K16" s="111">
        <f t="shared" si="0"/>
        <v>359554</v>
      </c>
      <c r="L16" s="112">
        <v>39844</v>
      </c>
    </row>
    <row r="17" spans="7:12">
      <c r="G17" s="97" t="s">
        <v>111</v>
      </c>
      <c r="H17" s="73">
        <v>1818940</v>
      </c>
      <c r="I17" s="73">
        <v>1030438</v>
      </c>
      <c r="J17" s="73">
        <v>0</v>
      </c>
      <c r="K17" s="111">
        <f t="shared" si="0"/>
        <v>2849378</v>
      </c>
      <c r="L17" s="112">
        <v>2638</v>
      </c>
    </row>
    <row r="18" spans="7:12">
      <c r="G18" s="97" t="s">
        <v>112</v>
      </c>
      <c r="H18" s="73">
        <v>1995011</v>
      </c>
      <c r="I18" s="73">
        <v>593302</v>
      </c>
      <c r="J18" s="73">
        <v>0</v>
      </c>
      <c r="K18" s="111">
        <f t="shared" si="0"/>
        <v>2588313</v>
      </c>
      <c r="L18" s="112">
        <v>0</v>
      </c>
    </row>
    <row r="19" spans="7:12">
      <c r="G19" s="97" t="s">
        <v>113</v>
      </c>
      <c r="H19" s="73">
        <v>5344</v>
      </c>
      <c r="I19" s="73">
        <v>0</v>
      </c>
      <c r="J19" s="73">
        <v>0</v>
      </c>
      <c r="K19" s="111">
        <f t="shared" si="0"/>
        <v>5344</v>
      </c>
      <c r="L19" s="112">
        <v>247085</v>
      </c>
    </row>
    <row r="20" spans="7:12">
      <c r="G20" s="97" t="s">
        <v>114</v>
      </c>
      <c r="H20" s="73">
        <v>647971</v>
      </c>
      <c r="I20" s="73">
        <v>0</v>
      </c>
      <c r="J20" s="73">
        <v>4523</v>
      </c>
      <c r="K20" s="111">
        <f t="shared" si="0"/>
        <v>652494</v>
      </c>
      <c r="L20" s="112">
        <v>135961</v>
      </c>
    </row>
    <row r="21" spans="7:12">
      <c r="G21" s="98" t="s">
        <v>486</v>
      </c>
      <c r="H21" s="75">
        <v>0</v>
      </c>
      <c r="I21" s="75">
        <v>0</v>
      </c>
      <c r="J21" s="75">
        <v>0</v>
      </c>
      <c r="K21" s="113">
        <f t="shared" si="0"/>
        <v>0</v>
      </c>
      <c r="L21" s="114">
        <v>622247</v>
      </c>
    </row>
    <row r="22" spans="7:12">
      <c r="G22" s="99" t="s">
        <v>115</v>
      </c>
      <c r="H22" s="78">
        <f>IF(COUNT(H15:H21),SUM(H15:H21),"")</f>
        <v>21334827</v>
      </c>
      <c r="I22" s="78">
        <f t="shared" ref="I22:J22" si="1">IF(COUNT(I15:I21),SUM(I15:I21),"")</f>
        <v>8315952</v>
      </c>
      <c r="J22" s="78">
        <f t="shared" si="1"/>
        <v>429714</v>
      </c>
      <c r="K22" s="78">
        <f t="shared" ref="K22" si="2">IF(COUNT(K15:K21),SUM(K15:K21),"")</f>
        <v>30080493</v>
      </c>
      <c r="L22" s="78">
        <f t="shared" ref="L22" si="3">IF(COUNT(L15:L21),SUM(L15:L21),"")</f>
        <v>6955138</v>
      </c>
    </row>
    <row r="23" spans="7:12">
      <c r="G23" s="100" t="s">
        <v>116</v>
      </c>
      <c r="H23" s="162"/>
      <c r="I23" s="163"/>
      <c r="J23" s="163"/>
      <c r="K23" s="163"/>
      <c r="L23" s="164"/>
    </row>
    <row r="24" spans="7:12">
      <c r="G24" s="101" t="s">
        <v>117</v>
      </c>
      <c r="H24" s="72">
        <v>8923251</v>
      </c>
      <c r="I24" s="72">
        <v>0</v>
      </c>
      <c r="J24" s="72">
        <v>0</v>
      </c>
      <c r="K24" s="109">
        <f t="shared" si="0"/>
        <v>8923251</v>
      </c>
      <c r="L24" s="110">
        <v>0</v>
      </c>
    </row>
    <row r="25" spans="7:12">
      <c r="G25" s="102" t="s">
        <v>118</v>
      </c>
      <c r="H25" s="75">
        <v>63357</v>
      </c>
      <c r="I25" s="75">
        <v>0</v>
      </c>
      <c r="J25" s="75">
        <v>0</v>
      </c>
      <c r="K25" s="113">
        <f t="shared" si="0"/>
        <v>63357</v>
      </c>
      <c r="L25" s="114">
        <v>0</v>
      </c>
    </row>
    <row r="26" spans="7:12">
      <c r="G26" s="99" t="s">
        <v>119</v>
      </c>
      <c r="H26" s="78">
        <f>IF(COUNT(H24:H25),SUM(H24:H25),"")</f>
        <v>8986608</v>
      </c>
      <c r="I26" s="78">
        <f t="shared" ref="I26:J26" si="4">IF(COUNT(I24:I25),SUM(I24:I25),"")</f>
        <v>0</v>
      </c>
      <c r="J26" s="78">
        <f t="shared" si="4"/>
        <v>0</v>
      </c>
      <c r="K26" s="78">
        <f t="shared" ref="K26" si="5">IF(COUNT(K24:K25),SUM(K24:K25),"")</f>
        <v>8986608</v>
      </c>
      <c r="L26" s="78">
        <f t="shared" ref="L26" si="6">IF(COUNT(L24:L25),SUM(L24:L25),"")</f>
        <v>0</v>
      </c>
    </row>
    <row r="27" spans="7:12">
      <c r="G27" s="100" t="s">
        <v>120</v>
      </c>
      <c r="H27" s="162"/>
      <c r="I27" s="163"/>
      <c r="J27" s="163"/>
      <c r="K27" s="163"/>
      <c r="L27" s="164"/>
    </row>
    <row r="28" spans="7:12">
      <c r="G28" s="103" t="s">
        <v>480</v>
      </c>
      <c r="H28" s="72">
        <v>1573206</v>
      </c>
      <c r="I28" s="72">
        <v>375000</v>
      </c>
      <c r="J28" s="72">
        <v>875832</v>
      </c>
      <c r="K28" s="109">
        <f t="shared" si="0"/>
        <v>2824038</v>
      </c>
      <c r="L28" s="110">
        <v>0</v>
      </c>
    </row>
    <row r="29" spans="7:12">
      <c r="G29" s="104" t="s">
        <v>121</v>
      </c>
      <c r="H29" s="73">
        <v>2848632</v>
      </c>
      <c r="I29" s="73">
        <v>402726</v>
      </c>
      <c r="J29" s="73">
        <v>1218146</v>
      </c>
      <c r="K29" s="111">
        <f t="shared" si="0"/>
        <v>4469504</v>
      </c>
      <c r="L29" s="112">
        <v>5270</v>
      </c>
    </row>
    <row r="30" spans="7:12">
      <c r="G30" s="104" t="s">
        <v>122</v>
      </c>
      <c r="H30" s="73">
        <v>142803432</v>
      </c>
      <c r="I30" s="73">
        <v>72463</v>
      </c>
      <c r="J30" s="73">
        <v>2036487</v>
      </c>
      <c r="K30" s="111">
        <f t="shared" si="0"/>
        <v>144912382</v>
      </c>
      <c r="L30" s="112">
        <v>86746</v>
      </c>
    </row>
    <row r="31" spans="7:12">
      <c r="G31" s="104" t="s">
        <v>497</v>
      </c>
      <c r="H31" s="73">
        <v>9076020</v>
      </c>
      <c r="I31" s="73">
        <v>11711915</v>
      </c>
      <c r="J31" s="73">
        <v>450178</v>
      </c>
      <c r="K31" s="111">
        <f t="shared" si="0"/>
        <v>21238113</v>
      </c>
      <c r="L31" s="112">
        <v>521822</v>
      </c>
    </row>
    <row r="32" spans="7:12">
      <c r="G32" s="104" t="s">
        <v>124</v>
      </c>
      <c r="H32" s="115">
        <v>-117482423</v>
      </c>
      <c r="I32" s="115">
        <v>-6181082</v>
      </c>
      <c r="J32" s="115">
        <v>-2447439</v>
      </c>
      <c r="K32" s="116">
        <f t="shared" si="0"/>
        <v>-126110944</v>
      </c>
      <c r="L32" s="117">
        <v>-418323</v>
      </c>
    </row>
    <row r="33" spans="7:12">
      <c r="G33" s="105" t="s">
        <v>498</v>
      </c>
      <c r="H33" s="75">
        <v>75122876</v>
      </c>
      <c r="I33" s="75">
        <v>927596</v>
      </c>
      <c r="J33" s="75">
        <v>0</v>
      </c>
      <c r="K33" s="113">
        <f t="shared" si="0"/>
        <v>76050472</v>
      </c>
      <c r="L33" s="114">
        <v>70</v>
      </c>
    </row>
    <row r="34" spans="7:12">
      <c r="G34" s="99" t="s">
        <v>123</v>
      </c>
      <c r="H34" s="78">
        <f>IF(COUNT(H28:H33),SUM(H28:H31)+SUM(H32)+SUM(H33),"")</f>
        <v>113941743</v>
      </c>
      <c r="I34" s="78">
        <f t="shared" ref="I34:L34" si="7">IF(COUNT(I28:I33),SUM(I28:I31)+SUM(I32)+SUM(I33),"")</f>
        <v>7308618</v>
      </c>
      <c r="J34" s="78">
        <f t="shared" si="7"/>
        <v>2133204</v>
      </c>
      <c r="K34" s="78">
        <f t="shared" si="7"/>
        <v>123383565</v>
      </c>
      <c r="L34" s="78">
        <f t="shared" si="7"/>
        <v>195585</v>
      </c>
    </row>
    <row r="35" spans="7:12">
      <c r="G35" s="99" t="s">
        <v>119</v>
      </c>
      <c r="H35" s="78">
        <f>IF(COUNT(H26,H34),SUM(H26,H34),"")</f>
        <v>122928351</v>
      </c>
      <c r="I35" s="78">
        <f t="shared" ref="I35:J35" si="8">IF(COUNT(I26,I34),SUM(I26,I34),"")</f>
        <v>7308618</v>
      </c>
      <c r="J35" s="78">
        <f t="shared" si="8"/>
        <v>2133204</v>
      </c>
      <c r="K35" s="78">
        <f t="shared" ref="K35" si="9">IF(COUNT(K26,K34),SUM(K26,K34),"")</f>
        <v>132370173</v>
      </c>
      <c r="L35" s="78">
        <f t="shared" ref="L35" si="10">IF(COUNT(L26,L34),SUM(L26,L34),"")</f>
        <v>195585</v>
      </c>
    </row>
    <row r="36" spans="7:12">
      <c r="G36" s="99" t="s">
        <v>488</v>
      </c>
      <c r="H36" s="78">
        <f>IF(COUNT(H22,H35),SUM(H22,H35),"")</f>
        <v>144263178</v>
      </c>
      <c r="I36" s="78">
        <f t="shared" ref="I36:J36" si="11">IF(COUNT(I22,I35),SUM(I22,I35),"")</f>
        <v>15624570</v>
      </c>
      <c r="J36" s="78">
        <f t="shared" si="11"/>
        <v>2562918</v>
      </c>
      <c r="K36" s="78">
        <f t="shared" ref="K36" si="12">IF(COUNT(K22,K35),SUM(K22,K35),"")</f>
        <v>162450666</v>
      </c>
      <c r="L36" s="78">
        <f t="shared" ref="L36" si="13">IF(COUNT(L22,L35),SUM(L22,L35),"")</f>
        <v>7150723</v>
      </c>
    </row>
    <row r="37" spans="7:12">
      <c r="G37" s="106" t="s">
        <v>125</v>
      </c>
      <c r="H37" s="91">
        <v>0</v>
      </c>
      <c r="I37" s="91">
        <v>0</v>
      </c>
      <c r="J37" s="91">
        <v>0</v>
      </c>
      <c r="K37" s="94">
        <f t="shared" si="0"/>
        <v>0</v>
      </c>
      <c r="L37" s="91">
        <v>0</v>
      </c>
    </row>
    <row r="38" spans="7:12">
      <c r="G38" s="107" t="s">
        <v>26</v>
      </c>
      <c r="H38" s="162"/>
      <c r="I38" s="163"/>
      <c r="J38" s="163"/>
      <c r="K38" s="163"/>
      <c r="L38" s="164"/>
    </row>
    <row r="39" spans="7:12">
      <c r="G39" s="100" t="s">
        <v>126</v>
      </c>
      <c r="H39" s="162"/>
      <c r="I39" s="163"/>
      <c r="J39" s="163"/>
      <c r="K39" s="163"/>
      <c r="L39" s="164"/>
    </row>
    <row r="40" spans="7:12">
      <c r="G40" s="101" t="s">
        <v>499</v>
      </c>
      <c r="H40" s="72">
        <v>9662097</v>
      </c>
      <c r="I40" s="72">
        <v>1246333</v>
      </c>
      <c r="J40" s="72">
        <v>27796</v>
      </c>
      <c r="K40" s="109">
        <f t="shared" ref="K40:K58" si="14">IF(COUNT(H40:J40),SUM(H40:J40),"")</f>
        <v>10936226</v>
      </c>
      <c r="L40" s="110">
        <v>380881</v>
      </c>
    </row>
    <row r="41" spans="7:12">
      <c r="G41" s="108" t="s">
        <v>501</v>
      </c>
      <c r="H41" s="73">
        <v>337060</v>
      </c>
      <c r="I41" s="73">
        <v>178425</v>
      </c>
      <c r="J41" s="73">
        <v>19555</v>
      </c>
      <c r="K41" s="111">
        <f t="shared" si="14"/>
        <v>535040</v>
      </c>
      <c r="L41" s="112">
        <v>100703</v>
      </c>
    </row>
    <row r="42" spans="7:12">
      <c r="G42" s="108" t="s">
        <v>127</v>
      </c>
      <c r="H42" s="73">
        <v>19234</v>
      </c>
      <c r="I42" s="73">
        <v>0</v>
      </c>
      <c r="J42" s="73">
        <v>0</v>
      </c>
      <c r="K42" s="111">
        <f t="shared" si="14"/>
        <v>19234</v>
      </c>
      <c r="L42" s="112">
        <v>0</v>
      </c>
    </row>
    <row r="43" spans="7:12">
      <c r="G43" s="108" t="s">
        <v>128</v>
      </c>
      <c r="H43" s="73">
        <v>1102809</v>
      </c>
      <c r="I43" s="73">
        <v>0</v>
      </c>
      <c r="J43" s="73">
        <v>0</v>
      </c>
      <c r="K43" s="111">
        <f t="shared" si="14"/>
        <v>1102809</v>
      </c>
      <c r="L43" s="112">
        <v>0</v>
      </c>
    </row>
    <row r="44" spans="7:12">
      <c r="G44" s="102" t="s">
        <v>503</v>
      </c>
      <c r="H44" s="75">
        <v>32661</v>
      </c>
      <c r="I44" s="75">
        <v>0</v>
      </c>
      <c r="J44" s="75">
        <v>0</v>
      </c>
      <c r="K44" s="113">
        <f t="shared" si="14"/>
        <v>32661</v>
      </c>
      <c r="L44" s="114">
        <v>0</v>
      </c>
    </row>
    <row r="45" spans="7:12">
      <c r="G45" s="99" t="s">
        <v>129</v>
      </c>
      <c r="H45" s="78">
        <f>IF(COUNT(H40:H44),SUM(H40:H44),"")</f>
        <v>11153861</v>
      </c>
      <c r="I45" s="78">
        <f t="shared" ref="I45:J45" si="15">IF(COUNT(I40:I44),SUM(I40:I44),"")</f>
        <v>1424758</v>
      </c>
      <c r="J45" s="78">
        <f t="shared" si="15"/>
        <v>47351</v>
      </c>
      <c r="K45" s="78">
        <f t="shared" ref="K45" si="16">IF(COUNT(K40:K44),SUM(K40:K44),"")</f>
        <v>12625970</v>
      </c>
      <c r="L45" s="78">
        <f t="shared" ref="L45" si="17">IF(COUNT(L40:L44),SUM(L40:L44),"")</f>
        <v>481584</v>
      </c>
    </row>
    <row r="46" spans="7:12">
      <c r="G46" s="100" t="s">
        <v>35</v>
      </c>
      <c r="H46" s="188"/>
      <c r="I46" s="189"/>
      <c r="J46" s="189"/>
      <c r="K46" s="189"/>
      <c r="L46" s="190"/>
    </row>
    <row r="47" spans="7:12">
      <c r="G47" s="101" t="s">
        <v>505</v>
      </c>
      <c r="H47" s="72">
        <v>0</v>
      </c>
      <c r="I47" s="72">
        <v>0</v>
      </c>
      <c r="J47" s="72">
        <v>79318</v>
      </c>
      <c r="K47" s="109">
        <f t="shared" si="14"/>
        <v>79318</v>
      </c>
      <c r="L47" s="110">
        <v>515137</v>
      </c>
    </row>
    <row r="48" spans="7:12">
      <c r="G48" s="108" t="s">
        <v>130</v>
      </c>
      <c r="H48" s="73">
        <v>0</v>
      </c>
      <c r="I48" s="73">
        <v>0</v>
      </c>
      <c r="J48" s="73">
        <v>0</v>
      </c>
      <c r="K48" s="111">
        <f t="shared" si="14"/>
        <v>0</v>
      </c>
      <c r="L48" s="112">
        <v>1552000</v>
      </c>
    </row>
    <row r="49" spans="7:19">
      <c r="G49" s="108" t="s">
        <v>131</v>
      </c>
      <c r="H49" s="73">
        <v>38002</v>
      </c>
      <c r="I49" s="73">
        <v>64483</v>
      </c>
      <c r="J49" s="73">
        <v>16000</v>
      </c>
      <c r="K49" s="111">
        <f t="shared" si="14"/>
        <v>118485</v>
      </c>
      <c r="L49" s="112">
        <v>0</v>
      </c>
    </row>
    <row r="50" spans="7:19">
      <c r="G50" s="108" t="s">
        <v>481</v>
      </c>
      <c r="H50" s="73">
        <v>680000</v>
      </c>
      <c r="I50" s="73">
        <v>404000</v>
      </c>
      <c r="J50" s="73">
        <v>66000</v>
      </c>
      <c r="K50" s="111">
        <f t="shared" si="14"/>
        <v>1150000</v>
      </c>
      <c r="L50" s="112">
        <v>0</v>
      </c>
    </row>
    <row r="51" spans="7:19">
      <c r="G51" s="102" t="s">
        <v>132</v>
      </c>
      <c r="H51" s="75">
        <v>23251908</v>
      </c>
      <c r="I51" s="75">
        <v>0</v>
      </c>
      <c r="J51" s="75">
        <v>0</v>
      </c>
      <c r="K51" s="113">
        <f t="shared" si="14"/>
        <v>23251908</v>
      </c>
      <c r="L51" s="114">
        <v>0</v>
      </c>
    </row>
    <row r="52" spans="7:19">
      <c r="G52" s="99" t="s">
        <v>507</v>
      </c>
      <c r="H52" s="78">
        <f>IF(COUNT(H47:H51),SUM(H47:H51),"")</f>
        <v>23969910</v>
      </c>
      <c r="I52" s="78">
        <f t="shared" ref="I52:J52" si="18">IF(COUNT(I47:I51),SUM(I47:I51),"")</f>
        <v>468483</v>
      </c>
      <c r="J52" s="78">
        <f t="shared" si="18"/>
        <v>161318</v>
      </c>
      <c r="K52" s="78">
        <f t="shared" ref="K52" si="19">IF(COUNT(K47:K51),SUM(K47:K51),"")</f>
        <v>24599711</v>
      </c>
      <c r="L52" s="78">
        <f t="shared" ref="L52" si="20">IF(COUNT(L47:L51),SUM(L47:L51),"")</f>
        <v>2067137</v>
      </c>
    </row>
    <row r="53" spans="7:19">
      <c r="G53" s="99" t="s">
        <v>491</v>
      </c>
      <c r="H53" s="78">
        <f>IF(COUNT(H45,H52),SUM(H45,H52),"")</f>
        <v>35123771</v>
      </c>
      <c r="I53" s="78">
        <f t="shared" ref="I53:J53" si="21">IF(COUNT(I45,I52),SUM(I45,I52),"")</f>
        <v>1893241</v>
      </c>
      <c r="J53" s="78">
        <f t="shared" si="21"/>
        <v>208669</v>
      </c>
      <c r="K53" s="78">
        <f t="shared" ref="K53" si="22">IF(COUNT(K45,K52),SUM(K45,K52),"")</f>
        <v>37225681</v>
      </c>
      <c r="L53" s="78">
        <f t="shared" ref="L53" si="23">IF(COUNT(L45,L52),SUM(L45,L52),"")</f>
        <v>2548721</v>
      </c>
    </row>
    <row r="54" spans="7:19">
      <c r="G54" s="106" t="s">
        <v>68</v>
      </c>
      <c r="H54" s="91">
        <v>0</v>
      </c>
      <c r="I54" s="91">
        <v>0</v>
      </c>
      <c r="J54" s="91">
        <v>0</v>
      </c>
      <c r="K54" s="94">
        <f t="shared" si="14"/>
        <v>0</v>
      </c>
      <c r="L54" s="91">
        <v>0</v>
      </c>
    </row>
    <row r="55" spans="7:19">
      <c r="G55" s="100" t="s">
        <v>133</v>
      </c>
      <c r="H55" s="188"/>
      <c r="I55" s="189"/>
      <c r="J55" s="189"/>
      <c r="K55" s="189"/>
      <c r="L55" s="190"/>
    </row>
    <row r="56" spans="7:19">
      <c r="G56" s="101" t="s">
        <v>508</v>
      </c>
      <c r="H56" s="72">
        <v>89586925</v>
      </c>
      <c r="I56" s="72">
        <v>7308619</v>
      </c>
      <c r="J56" s="72">
        <v>2133204</v>
      </c>
      <c r="K56" s="109">
        <f t="shared" si="14"/>
        <v>99028748</v>
      </c>
      <c r="L56" s="110">
        <v>195585</v>
      </c>
    </row>
    <row r="57" spans="7:19">
      <c r="G57" s="108" t="s">
        <v>134</v>
      </c>
      <c r="H57" s="73">
        <v>8991951</v>
      </c>
      <c r="I57" s="73">
        <v>0</v>
      </c>
      <c r="J57" s="73">
        <v>0</v>
      </c>
      <c r="K57" s="111">
        <f t="shared" si="14"/>
        <v>8991951</v>
      </c>
      <c r="L57" s="112">
        <v>0</v>
      </c>
    </row>
    <row r="58" spans="7:19">
      <c r="G58" s="102" t="s">
        <v>509</v>
      </c>
      <c r="H58" s="75">
        <v>10560531</v>
      </c>
      <c r="I58" s="75">
        <v>6422710</v>
      </c>
      <c r="J58" s="75">
        <v>221045</v>
      </c>
      <c r="K58" s="113">
        <f t="shared" si="14"/>
        <v>17204286</v>
      </c>
      <c r="L58" s="114">
        <v>4406417</v>
      </c>
    </row>
    <row r="59" spans="7:19">
      <c r="G59" s="99" t="s">
        <v>510</v>
      </c>
      <c r="H59" s="78">
        <f>IF(COUNT(H56:H58),SUM(H56:H58),"")</f>
        <v>109139407</v>
      </c>
      <c r="I59" s="78">
        <f t="shared" ref="I59:J59" si="24">IF(COUNT(I56:I58),SUM(I56:I58),"")</f>
        <v>13731329</v>
      </c>
      <c r="J59" s="78">
        <f t="shared" si="24"/>
        <v>2354249</v>
      </c>
      <c r="K59" s="78">
        <f t="shared" ref="K59" si="25">IF(COUNT(K56:K58),SUM(K56:K58),"")</f>
        <v>125224985</v>
      </c>
      <c r="L59" s="78">
        <f>IF(COUNT(L56:L58),SUM(L56:L58),"")</f>
        <v>4602002</v>
      </c>
      <c r="S59" t="s">
        <v>525</v>
      </c>
    </row>
    <row r="60" spans="7:19">
      <c r="G60" s="191" t="s">
        <v>135</v>
      </c>
      <c r="H60" s="192"/>
      <c r="I60" s="192"/>
      <c r="J60" s="193"/>
      <c r="K60" s="91">
        <v>312060</v>
      </c>
      <c r="L60" s="194"/>
      <c r="S60" t="s">
        <v>135</v>
      </c>
    </row>
    <row r="61" spans="7:19">
      <c r="G61" s="185" t="s">
        <v>136</v>
      </c>
      <c r="H61" s="186"/>
      <c r="I61" s="186"/>
      <c r="J61" s="187"/>
      <c r="K61" s="78">
        <f>IF(COUNT(K59:K60),SUM(K59:K60),"")</f>
        <v>125537045</v>
      </c>
      <c r="L61" s="195"/>
      <c r="S61" t="s">
        <v>136</v>
      </c>
    </row>
    <row r="62" spans="7:19"/>
  </sheetData>
  <sheetProtection algorithmName="SHA-512" hashValue="PNSRX5S3crzADOHYhfiFVYBEUSCDOVQi87hqpDBW0oj/XLVfdHNLa64BG01aAKJn2JhZ6eh/ocA6YtMt5ob1Uw==" saltValue="KIKAX9VpehGiIZMsSOvpfg==" spinCount="100000" sheet="1" objects="1" scenarios="1"/>
  <mergeCells count="15">
    <mergeCell ref="H11:K11"/>
    <mergeCell ref="H13:L13"/>
    <mergeCell ref="H14:L14"/>
    <mergeCell ref="H23:L23"/>
    <mergeCell ref="G10:K10"/>
    <mergeCell ref="G11:G12"/>
    <mergeCell ref="L11:L12"/>
    <mergeCell ref="G61:J61"/>
    <mergeCell ref="H27:L27"/>
    <mergeCell ref="H38:L38"/>
    <mergeCell ref="H39:L39"/>
    <mergeCell ref="H46:L46"/>
    <mergeCell ref="H55:L55"/>
    <mergeCell ref="G60:J60"/>
    <mergeCell ref="L60:L61"/>
  </mergeCells>
  <dataValidations count="2">
    <dataValidation type="whole" allowBlank="1" showInputMessage="1" showErrorMessage="1" sqref="H24:L26 K56:K61 H40:L45 H47:L54 H56:J59 L56:L59 H15:L22 H28:L33 H35:L37">
      <formula1>-1.11111111111111E+36</formula1>
      <formula2>1.11111111111111E+34</formula2>
    </dataValidation>
    <dataValidation type="whole" allowBlank="1" showInputMessage="1" showErrorMessage="1" sqref="H34:L34">
      <formula1>-11111111111111100000</formula1>
      <formula2>1.11111111111111E+23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54"/>
  <sheetViews>
    <sheetView showGridLines="0" topLeftCell="E9" workbookViewId="0">
      <selection activeCell="G10" sqref="G10:K10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39.5703125" style="17" bestFit="1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85546875" style="17" bestFit="1" customWidth="1"/>
    <col min="13" max="13" width="2.85546875" customWidth="1"/>
    <col min="14" max="14" width="2.285156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4.95" customHeight="1">
      <c r="G10" s="165" t="s">
        <v>244</v>
      </c>
      <c r="H10" s="166"/>
      <c r="I10" s="166"/>
      <c r="J10" s="166"/>
      <c r="K10" s="167"/>
      <c r="L10" s="153" t="s">
        <v>529</v>
      </c>
    </row>
    <row r="11" spans="7:12" ht="22.5" customHeight="1">
      <c r="G11" s="168" t="s">
        <v>3</v>
      </c>
      <c r="H11" s="165" t="s">
        <v>106</v>
      </c>
      <c r="I11" s="166"/>
      <c r="J11" s="166"/>
      <c r="K11" s="167"/>
      <c r="L11" s="168" t="s">
        <v>108</v>
      </c>
    </row>
    <row r="12" spans="7:12" ht="45">
      <c r="G12" s="169"/>
      <c r="H12" s="8" t="s">
        <v>232</v>
      </c>
      <c r="I12" s="8" t="s">
        <v>217</v>
      </c>
      <c r="J12" s="8" t="s">
        <v>218</v>
      </c>
      <c r="K12" s="8" t="s">
        <v>107</v>
      </c>
      <c r="L12" s="169"/>
    </row>
    <row r="13" spans="7:12">
      <c r="G13" s="5" t="s">
        <v>137</v>
      </c>
      <c r="H13" s="171"/>
      <c r="I13" s="171"/>
      <c r="J13" s="171"/>
      <c r="K13" s="171"/>
      <c r="L13" s="172"/>
    </row>
    <row r="14" spans="7:12">
      <c r="G14" s="118" t="s">
        <v>511</v>
      </c>
      <c r="H14" s="72">
        <v>21105290</v>
      </c>
      <c r="I14" s="72">
        <v>10590402</v>
      </c>
      <c r="J14" s="72">
        <v>784273</v>
      </c>
      <c r="K14" s="109">
        <f>IF(COUNT(H14:J14),SUM(H14:J14),"")</f>
        <v>32479965</v>
      </c>
      <c r="L14" s="110">
        <v>12494842</v>
      </c>
    </row>
    <row r="15" spans="7:12">
      <c r="G15" s="84" t="s">
        <v>138</v>
      </c>
      <c r="H15" s="73">
        <v>1433039</v>
      </c>
      <c r="I15" s="73">
        <v>0</v>
      </c>
      <c r="J15" s="73">
        <v>0</v>
      </c>
      <c r="K15" s="111">
        <f t="shared" ref="K15:K18" si="0">IF(COUNT(H15:J15),SUM(H15:J15),"")</f>
        <v>1433039</v>
      </c>
      <c r="L15" s="112">
        <v>0</v>
      </c>
    </row>
    <row r="16" spans="7:12">
      <c r="G16" s="84" t="s">
        <v>139</v>
      </c>
      <c r="H16" s="73">
        <v>92631</v>
      </c>
      <c r="I16" s="73">
        <v>183079</v>
      </c>
      <c r="J16" s="73">
        <v>0</v>
      </c>
      <c r="K16" s="111">
        <f t="shared" si="0"/>
        <v>275710</v>
      </c>
      <c r="L16" s="112">
        <v>0</v>
      </c>
    </row>
    <row r="17" spans="7:12">
      <c r="G17" s="84" t="s">
        <v>140</v>
      </c>
      <c r="H17" s="73">
        <v>0</v>
      </c>
      <c r="I17" s="73">
        <v>0</v>
      </c>
      <c r="J17" s="73">
        <v>66841</v>
      </c>
      <c r="K17" s="111">
        <f t="shared" si="0"/>
        <v>66841</v>
      </c>
      <c r="L17" s="112">
        <v>0</v>
      </c>
    </row>
    <row r="18" spans="7:12">
      <c r="G18" s="119" t="s">
        <v>513</v>
      </c>
      <c r="H18" s="75">
        <v>0</v>
      </c>
      <c r="I18" s="75">
        <v>60092</v>
      </c>
      <c r="J18" s="75">
        <v>0</v>
      </c>
      <c r="K18" s="113">
        <f t="shared" si="0"/>
        <v>60092</v>
      </c>
      <c r="L18" s="114">
        <v>0</v>
      </c>
    </row>
    <row r="19" spans="7:12">
      <c r="G19" s="93" t="s">
        <v>141</v>
      </c>
      <c r="H19" s="78">
        <f>IF(COUNT(H14:H18),SUM(H14:H18),"")</f>
        <v>22630960</v>
      </c>
      <c r="I19" s="78">
        <f t="shared" ref="I19:L19" si="1">IF(COUNT(I14:I18),SUM(I14:I18),"")</f>
        <v>10833573</v>
      </c>
      <c r="J19" s="78">
        <f t="shared" si="1"/>
        <v>851114</v>
      </c>
      <c r="K19" s="78">
        <f t="shared" si="1"/>
        <v>34315647</v>
      </c>
      <c r="L19" s="78">
        <f t="shared" si="1"/>
        <v>12494842</v>
      </c>
    </row>
    <row r="20" spans="7:12">
      <c r="G20" s="83" t="s">
        <v>142</v>
      </c>
      <c r="H20" s="162"/>
      <c r="I20" s="163"/>
      <c r="J20" s="163"/>
      <c r="K20" s="163"/>
      <c r="L20" s="164"/>
    </row>
    <row r="21" spans="7:12">
      <c r="G21" s="120" t="s">
        <v>143</v>
      </c>
      <c r="H21" s="72">
        <v>6237387</v>
      </c>
      <c r="I21" s="72">
        <v>3218599</v>
      </c>
      <c r="J21" s="72">
        <v>390499</v>
      </c>
      <c r="K21" s="109">
        <f t="shared" ref="K21:K34" si="2">IF(COUNT(H21:J21),SUM(H21:J21),"")</f>
        <v>9846485</v>
      </c>
      <c r="L21" s="110">
        <v>1312542</v>
      </c>
    </row>
    <row r="22" spans="7:12">
      <c r="G22" s="121" t="s">
        <v>144</v>
      </c>
      <c r="H22" s="73">
        <v>0</v>
      </c>
      <c r="I22" s="73">
        <v>0</v>
      </c>
      <c r="J22" s="73">
        <v>10484</v>
      </c>
      <c r="K22" s="111">
        <f t="shared" si="2"/>
        <v>10484</v>
      </c>
      <c r="L22" s="112">
        <v>818998</v>
      </c>
    </row>
    <row r="23" spans="7:12">
      <c r="G23" s="121" t="s">
        <v>145</v>
      </c>
      <c r="H23" s="73">
        <v>842757</v>
      </c>
      <c r="I23" s="73">
        <v>3192805</v>
      </c>
      <c r="J23" s="73">
        <v>20412</v>
      </c>
      <c r="K23" s="111">
        <f t="shared" si="2"/>
        <v>4055974</v>
      </c>
      <c r="L23" s="112">
        <v>399218</v>
      </c>
    </row>
    <row r="24" spans="7:12">
      <c r="G24" s="121" t="s">
        <v>146</v>
      </c>
      <c r="H24" s="73">
        <v>1398592</v>
      </c>
      <c r="I24" s="73">
        <v>385025</v>
      </c>
      <c r="J24" s="73">
        <v>137796</v>
      </c>
      <c r="K24" s="111">
        <f t="shared" si="2"/>
        <v>1921413</v>
      </c>
      <c r="L24" s="112">
        <v>50498</v>
      </c>
    </row>
    <row r="25" spans="7:12">
      <c r="G25" s="121" t="s">
        <v>147</v>
      </c>
      <c r="H25" s="73">
        <v>870435</v>
      </c>
      <c r="I25" s="73">
        <v>65104</v>
      </c>
      <c r="J25" s="73">
        <v>84857</v>
      </c>
      <c r="K25" s="111">
        <f t="shared" si="2"/>
        <v>1020396</v>
      </c>
      <c r="L25" s="112">
        <v>60629</v>
      </c>
    </row>
    <row r="26" spans="7:12">
      <c r="G26" s="121" t="s">
        <v>148</v>
      </c>
      <c r="H26" s="73">
        <v>1834837</v>
      </c>
      <c r="I26" s="73">
        <v>47297</v>
      </c>
      <c r="J26" s="73">
        <v>71707</v>
      </c>
      <c r="K26" s="111">
        <f t="shared" si="2"/>
        <v>1953841</v>
      </c>
      <c r="L26" s="112">
        <v>10581</v>
      </c>
    </row>
    <row r="27" spans="7:12">
      <c r="G27" s="121" t="s">
        <v>149</v>
      </c>
      <c r="H27" s="73">
        <v>305330</v>
      </c>
      <c r="I27" s="73">
        <v>15639</v>
      </c>
      <c r="J27" s="73">
        <v>30</v>
      </c>
      <c r="K27" s="111">
        <f t="shared" si="2"/>
        <v>320999</v>
      </c>
      <c r="L27" s="112">
        <v>167508</v>
      </c>
    </row>
    <row r="28" spans="7:12">
      <c r="G28" s="121" t="s">
        <v>150</v>
      </c>
      <c r="H28" s="73">
        <v>66443</v>
      </c>
      <c r="I28" s="73">
        <v>379475</v>
      </c>
      <c r="J28" s="73">
        <v>5603</v>
      </c>
      <c r="K28" s="111">
        <f t="shared" si="2"/>
        <v>451521</v>
      </c>
      <c r="L28" s="112">
        <v>6800</v>
      </c>
    </row>
    <row r="29" spans="7:12">
      <c r="G29" s="121" t="s">
        <v>151</v>
      </c>
      <c r="H29" s="73">
        <v>89500</v>
      </c>
      <c r="I29" s="73">
        <v>875300</v>
      </c>
      <c r="J29" s="73">
        <v>4000</v>
      </c>
      <c r="K29" s="111">
        <f t="shared" si="2"/>
        <v>968800</v>
      </c>
      <c r="L29" s="112">
        <v>12700</v>
      </c>
    </row>
    <row r="30" spans="7:12">
      <c r="G30" s="121" t="s">
        <v>152</v>
      </c>
      <c r="H30" s="73">
        <v>1810859</v>
      </c>
      <c r="I30" s="73">
        <v>861878</v>
      </c>
      <c r="J30" s="73">
        <v>0</v>
      </c>
      <c r="K30" s="111">
        <f t="shared" si="2"/>
        <v>2672737</v>
      </c>
      <c r="L30" s="112">
        <v>138100</v>
      </c>
    </row>
    <row r="31" spans="7:12">
      <c r="G31" s="121" t="s">
        <v>153</v>
      </c>
      <c r="H31" s="73">
        <v>302800</v>
      </c>
      <c r="I31" s="73">
        <v>36600</v>
      </c>
      <c r="J31" s="73">
        <v>15300</v>
      </c>
      <c r="K31" s="111">
        <f t="shared" si="2"/>
        <v>354700</v>
      </c>
      <c r="L31" s="112">
        <v>9800</v>
      </c>
    </row>
    <row r="32" spans="7:12">
      <c r="G32" s="121" t="s">
        <v>154</v>
      </c>
      <c r="H32" s="73">
        <v>4610391</v>
      </c>
      <c r="I32" s="73">
        <v>1399601</v>
      </c>
      <c r="J32" s="73">
        <v>190747</v>
      </c>
      <c r="K32" s="111">
        <f t="shared" si="2"/>
        <v>6200739</v>
      </c>
      <c r="L32" s="112">
        <v>34465</v>
      </c>
    </row>
    <row r="33" spans="7:12">
      <c r="G33" s="121" t="s">
        <v>155</v>
      </c>
      <c r="H33" s="73">
        <v>0</v>
      </c>
      <c r="I33" s="73">
        <v>0</v>
      </c>
      <c r="J33" s="73">
        <v>0</v>
      </c>
      <c r="K33" s="111">
        <f t="shared" si="2"/>
        <v>0</v>
      </c>
      <c r="L33" s="112">
        <v>8267309</v>
      </c>
    </row>
    <row r="34" spans="7:12">
      <c r="G34" s="122" t="s">
        <v>514</v>
      </c>
      <c r="H34" s="75">
        <v>314049</v>
      </c>
      <c r="I34" s="75">
        <v>99482</v>
      </c>
      <c r="J34" s="75">
        <v>80690</v>
      </c>
      <c r="K34" s="113">
        <f t="shared" si="2"/>
        <v>494221</v>
      </c>
      <c r="L34" s="114">
        <v>1166597</v>
      </c>
    </row>
    <row r="35" spans="7:12">
      <c r="G35" s="93" t="s">
        <v>156</v>
      </c>
      <c r="H35" s="78">
        <f>IF(COUNT(H21:H34),SUM(H21:H34),"")</f>
        <v>18683380</v>
      </c>
      <c r="I35" s="78">
        <f t="shared" ref="I35:L35" si="3">IF(COUNT(I21:I34),SUM(I21:I34),"")</f>
        <v>10576805</v>
      </c>
      <c r="J35" s="78">
        <f t="shared" si="3"/>
        <v>1012125</v>
      </c>
      <c r="K35" s="78">
        <f t="shared" si="3"/>
        <v>30272310</v>
      </c>
      <c r="L35" s="78">
        <f t="shared" si="3"/>
        <v>12455745</v>
      </c>
    </row>
    <row r="36" spans="7:12">
      <c r="G36" s="93" t="s">
        <v>157</v>
      </c>
      <c r="H36" s="78">
        <f>IF(COUNT(H19,H35),SUM(H19)-SUM(H35),"")</f>
        <v>3947580</v>
      </c>
      <c r="I36" s="78">
        <f t="shared" ref="I36:L36" si="4">IF(COUNT(I19,I35),SUM(I19)-SUM(I35),"")</f>
        <v>256768</v>
      </c>
      <c r="J36" s="78">
        <f t="shared" si="4"/>
        <v>-161011</v>
      </c>
      <c r="K36" s="78">
        <f t="shared" si="4"/>
        <v>4043337</v>
      </c>
      <c r="L36" s="78">
        <f t="shared" si="4"/>
        <v>39097</v>
      </c>
    </row>
    <row r="37" spans="7:12">
      <c r="G37" s="83" t="s">
        <v>158</v>
      </c>
      <c r="H37" s="188"/>
      <c r="I37" s="189"/>
      <c r="J37" s="189"/>
      <c r="K37" s="189"/>
      <c r="L37" s="190"/>
    </row>
    <row r="38" spans="7:12">
      <c r="G38" s="120" t="s">
        <v>516</v>
      </c>
      <c r="H38" s="72">
        <v>438433</v>
      </c>
      <c r="I38" s="72">
        <v>53305</v>
      </c>
      <c r="J38" s="72">
        <v>3898</v>
      </c>
      <c r="K38" s="109">
        <f t="shared" ref="K38:K41" si="5">IF(COUNT(H38:J38),SUM(H38:J38),"")</f>
        <v>495636</v>
      </c>
      <c r="L38" s="110">
        <v>47467</v>
      </c>
    </row>
    <row r="39" spans="7:12">
      <c r="G39" s="121" t="s">
        <v>159</v>
      </c>
      <c r="H39" s="73">
        <v>112213</v>
      </c>
      <c r="I39" s="73">
        <v>307135</v>
      </c>
      <c r="J39" s="73">
        <v>0</v>
      </c>
      <c r="K39" s="111">
        <f t="shared" si="5"/>
        <v>419348</v>
      </c>
      <c r="L39" s="112">
        <v>16411</v>
      </c>
    </row>
    <row r="40" spans="7:12">
      <c r="G40" s="121" t="s">
        <v>521</v>
      </c>
      <c r="H40" s="73">
        <v>-427848</v>
      </c>
      <c r="I40" s="73">
        <v>0</v>
      </c>
      <c r="J40" s="73">
        <v>0</v>
      </c>
      <c r="K40" s="111">
        <f t="shared" si="5"/>
        <v>-427848</v>
      </c>
      <c r="L40" s="112">
        <v>0</v>
      </c>
    </row>
    <row r="41" spans="7:12">
      <c r="G41" s="122" t="s">
        <v>515</v>
      </c>
      <c r="H41" s="75">
        <v>7516</v>
      </c>
      <c r="I41" s="75">
        <v>0</v>
      </c>
      <c r="J41" s="75">
        <v>12400</v>
      </c>
      <c r="K41" s="113">
        <f t="shared" si="5"/>
        <v>19916</v>
      </c>
      <c r="L41" s="114">
        <v>17072</v>
      </c>
    </row>
    <row r="42" spans="7:12">
      <c r="G42" s="93" t="s">
        <v>161</v>
      </c>
      <c r="H42" s="78">
        <f>IF(COUNT(H38:H41),SUM(H38:H41),"")</f>
        <v>130314</v>
      </c>
      <c r="I42" s="78">
        <f t="shared" ref="I42:L42" si="6">IF(COUNT(I38:I41),SUM(I38:I41),"")</f>
        <v>360440</v>
      </c>
      <c r="J42" s="78">
        <f t="shared" si="6"/>
        <v>16298</v>
      </c>
      <c r="K42" s="78">
        <f t="shared" si="6"/>
        <v>507052</v>
      </c>
      <c r="L42" s="78">
        <f t="shared" si="6"/>
        <v>80950</v>
      </c>
    </row>
    <row r="43" spans="7:12" ht="30">
      <c r="G43" s="93" t="s">
        <v>162</v>
      </c>
      <c r="H43" s="78">
        <f>IF(COUNT(H36,H42),SUM(H36,H42),"")</f>
        <v>4077894</v>
      </c>
      <c r="I43" s="78">
        <f t="shared" ref="I43:L43" si="7">IF(COUNT(I36,I42),SUM(I36,I42),"")</f>
        <v>617208</v>
      </c>
      <c r="J43" s="78">
        <f t="shared" si="7"/>
        <v>-144713</v>
      </c>
      <c r="K43" s="78">
        <f t="shared" si="7"/>
        <v>4550389</v>
      </c>
      <c r="L43" s="78">
        <f t="shared" si="7"/>
        <v>120047</v>
      </c>
    </row>
    <row r="44" spans="7:12">
      <c r="G44" s="83" t="s">
        <v>163</v>
      </c>
      <c r="H44" s="188"/>
      <c r="I44" s="189"/>
      <c r="J44" s="189"/>
      <c r="K44" s="189"/>
      <c r="L44" s="190"/>
    </row>
    <row r="45" spans="7:12">
      <c r="G45" s="120" t="s">
        <v>164</v>
      </c>
      <c r="H45" s="72">
        <v>45000</v>
      </c>
      <c r="I45" s="72">
        <v>0</v>
      </c>
      <c r="J45" s="72">
        <v>0</v>
      </c>
      <c r="K45" s="109">
        <f t="shared" ref="K45:K46" si="8">IF(COUNT(H45:J45),SUM(H45:J45),"")</f>
        <v>45000</v>
      </c>
      <c r="L45" s="110">
        <v>0</v>
      </c>
    </row>
    <row r="46" spans="7:12">
      <c r="G46" s="122" t="s">
        <v>165</v>
      </c>
      <c r="H46" s="75">
        <v>535320</v>
      </c>
      <c r="I46" s="75">
        <v>0</v>
      </c>
      <c r="J46" s="75">
        <v>0</v>
      </c>
      <c r="K46" s="113">
        <f t="shared" si="8"/>
        <v>535320</v>
      </c>
      <c r="L46" s="114">
        <v>0</v>
      </c>
    </row>
    <row r="47" spans="7:12">
      <c r="G47" s="93" t="s">
        <v>166</v>
      </c>
      <c r="H47" s="78">
        <f>IF(COUNT(H45:H46),SUM(H46)-SUM(H45),"")</f>
        <v>490320</v>
      </c>
      <c r="I47" s="78">
        <f t="shared" ref="I47:L47" si="9">IF(COUNT(I45:I46),SUM(I46)-SUM(I45),"")</f>
        <v>0</v>
      </c>
      <c r="J47" s="78">
        <f t="shared" si="9"/>
        <v>0</v>
      </c>
      <c r="K47" s="78">
        <f t="shared" si="9"/>
        <v>490320</v>
      </c>
      <c r="L47" s="78">
        <f t="shared" si="9"/>
        <v>0</v>
      </c>
    </row>
    <row r="48" spans="7:12">
      <c r="G48" s="93" t="s">
        <v>518</v>
      </c>
      <c r="H48" s="78">
        <f>IF(COUNT(H43,H47),SUM(H43,H47),"")</f>
        <v>4568214</v>
      </c>
      <c r="I48" s="78">
        <f t="shared" ref="I48:L48" si="10">IF(COUNT(I43,I47),SUM(I43,I47),"")</f>
        <v>617208</v>
      </c>
      <c r="J48" s="78">
        <f t="shared" si="10"/>
        <v>-144713</v>
      </c>
      <c r="K48" s="78">
        <f t="shared" si="10"/>
        <v>5040709</v>
      </c>
      <c r="L48" s="78">
        <f t="shared" si="10"/>
        <v>120047</v>
      </c>
    </row>
    <row r="49" spans="7:12">
      <c r="G49" s="123" t="s">
        <v>168</v>
      </c>
      <c r="H49" s="91">
        <v>104571193</v>
      </c>
      <c r="I49" s="91">
        <v>13114121</v>
      </c>
      <c r="J49" s="91">
        <v>2498962</v>
      </c>
      <c r="K49" s="94">
        <f t="shared" ref="K49" si="11">IF(COUNT(H49:J49),SUM(H49:J49),"")</f>
        <v>120184276</v>
      </c>
      <c r="L49" s="124">
        <v>4481955</v>
      </c>
    </row>
    <row r="50" spans="7:12">
      <c r="G50" s="93" t="s">
        <v>169</v>
      </c>
      <c r="H50" s="78">
        <f>IF(COUNT(H48:H49),SUM(H48:H49),"")</f>
        <v>109139407</v>
      </c>
      <c r="I50" s="78">
        <f t="shared" ref="I50:L50" si="12">IF(COUNT(I48:I49),SUM(I48:I49),"")</f>
        <v>13731329</v>
      </c>
      <c r="J50" s="78">
        <f t="shared" si="12"/>
        <v>2354249</v>
      </c>
      <c r="K50" s="78">
        <f t="shared" si="12"/>
        <v>125224985</v>
      </c>
      <c r="L50" s="78">
        <f t="shared" si="12"/>
        <v>4602002</v>
      </c>
    </row>
    <row r="51" spans="7:12" ht="15" customHeight="1">
      <c r="G51" s="185" t="s">
        <v>170</v>
      </c>
      <c r="H51" s="186"/>
      <c r="I51" s="186"/>
      <c r="J51" s="187"/>
      <c r="K51" s="78">
        <f>IF(COUNT(K48),SUM(K48),"")</f>
        <v>5040709</v>
      </c>
      <c r="L51" s="194"/>
    </row>
    <row r="52" spans="7:12">
      <c r="G52" s="196" t="s">
        <v>171</v>
      </c>
      <c r="H52" s="197"/>
      <c r="I52" s="197"/>
      <c r="J52" s="198"/>
      <c r="K52" s="125">
        <v>34781</v>
      </c>
      <c r="L52" s="201"/>
    </row>
    <row r="53" spans="7:12" ht="15" customHeight="1">
      <c r="G53" s="199" t="s">
        <v>172</v>
      </c>
      <c r="H53" s="200"/>
      <c r="I53" s="200"/>
      <c r="J53" s="200"/>
      <c r="K53" s="78">
        <f>IF(COUNT(K51:K52),SUM(K51:K52),"")</f>
        <v>5075490</v>
      </c>
      <c r="L53" s="195"/>
    </row>
    <row r="54" spans="7:12"/>
  </sheetData>
  <sheetProtection algorithmName="SHA-512" hashValue="MZYNWughWuKaOBwjkGxJyNujZo6NYm5gvK40Fgvt3NFLcJ846wm0zcUA/bCHOzWmIA4PIHTifLEDgOMJ9n64qQ==" saltValue="7UIwUf8E84ruRItWGwWbBg==" spinCount="100000" sheet="1" objects="1" scenarios="1"/>
  <mergeCells count="12">
    <mergeCell ref="G10:K10"/>
    <mergeCell ref="G51:J51"/>
    <mergeCell ref="G52:J52"/>
    <mergeCell ref="G53:J53"/>
    <mergeCell ref="L51:L53"/>
    <mergeCell ref="H11:K11"/>
    <mergeCell ref="H13:L13"/>
    <mergeCell ref="H20:L20"/>
    <mergeCell ref="H37:L37"/>
    <mergeCell ref="H44:L44"/>
    <mergeCell ref="G11:G12"/>
    <mergeCell ref="L11:L12"/>
  </mergeCells>
  <dataValidations count="1">
    <dataValidation type="whole" allowBlank="1" showInputMessage="1" showErrorMessage="1" sqref="H14:L19 H45:L48 H38:L43 H50:L50 K51:K53 H21:L36">
      <formula1>-1.11111111111111E+31</formula1>
      <formula2>1.11111111111111E+32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N58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3" style="17" customWidth="1"/>
    <col min="13" max="14" width="2.5703125" customWidth="1"/>
    <col min="15" max="16384" width="9.140625" hidden="1"/>
  </cols>
  <sheetData>
    <row r="1" spans="7:12" hidden="1"/>
    <row r="2" spans="7:12" hidden="1"/>
    <row r="3" spans="7:12" hidden="1"/>
    <row r="4" spans="7:12" hidden="1"/>
    <row r="5" spans="7:12" hidden="1"/>
    <row r="6" spans="7:12" hidden="1"/>
    <row r="7" spans="7:12" hidden="1"/>
    <row r="8" spans="7:12" hidden="1"/>
    <row r="9" spans="7:12" ht="39.950000000000003" customHeight="1"/>
    <row r="10" spans="7:12" ht="24.95" customHeight="1">
      <c r="G10" s="165" t="s">
        <v>245</v>
      </c>
      <c r="H10" s="166"/>
      <c r="I10" s="166"/>
      <c r="J10" s="166"/>
      <c r="K10" s="167"/>
      <c r="L10" s="152" t="s">
        <v>529</v>
      </c>
    </row>
    <row r="11" spans="7:12" ht="25.5" customHeight="1">
      <c r="G11" s="168" t="s">
        <v>3</v>
      </c>
      <c r="H11" s="165" t="s">
        <v>106</v>
      </c>
      <c r="I11" s="166"/>
      <c r="J11" s="166"/>
      <c r="K11" s="167"/>
      <c r="L11" s="168" t="s">
        <v>235</v>
      </c>
    </row>
    <row r="12" spans="7:12" ht="45">
      <c r="G12" s="169"/>
      <c r="H12" s="8" t="s">
        <v>232</v>
      </c>
      <c r="I12" s="8" t="s">
        <v>234</v>
      </c>
      <c r="J12" s="8" t="s">
        <v>233</v>
      </c>
      <c r="K12" s="8" t="s">
        <v>107</v>
      </c>
      <c r="L12" s="169"/>
    </row>
    <row r="13" spans="7:12">
      <c r="G13" s="5" t="s">
        <v>173</v>
      </c>
      <c r="H13" s="170"/>
      <c r="I13" s="171"/>
      <c r="J13" s="171"/>
      <c r="K13" s="171"/>
      <c r="L13" s="172"/>
    </row>
    <row r="14" spans="7:12">
      <c r="G14" s="118" t="s">
        <v>174</v>
      </c>
      <c r="H14" s="72">
        <v>22962381</v>
      </c>
      <c r="I14" s="72">
        <v>10961164</v>
      </c>
      <c r="J14" s="72">
        <v>931619</v>
      </c>
      <c r="K14" s="109">
        <f>+IF(COUNT(H14:J14),SUM(H14:J14),"")</f>
        <v>34855164</v>
      </c>
      <c r="L14" s="110">
        <v>12271268</v>
      </c>
    </row>
    <row r="15" spans="7:12">
      <c r="G15" s="84" t="s">
        <v>175</v>
      </c>
      <c r="H15" s="73">
        <v>0</v>
      </c>
      <c r="I15" s="73">
        <v>0</v>
      </c>
      <c r="J15" s="73">
        <v>0</v>
      </c>
      <c r="K15" s="111">
        <f t="shared" ref="K15:K19" si="0">+IF(COUNT(H15:J15),SUM(H15:J15),"")</f>
        <v>0</v>
      </c>
      <c r="L15" s="112">
        <v>1372500</v>
      </c>
    </row>
    <row r="16" spans="7:12">
      <c r="G16" s="84" t="s">
        <v>176</v>
      </c>
      <c r="H16" s="73">
        <v>0</v>
      </c>
      <c r="I16" s="73">
        <v>0</v>
      </c>
      <c r="J16" s="73">
        <v>0</v>
      </c>
      <c r="K16" s="111">
        <f t="shared" si="0"/>
        <v>0</v>
      </c>
      <c r="L16" s="112">
        <v>0</v>
      </c>
    </row>
    <row r="17" spans="7:12">
      <c r="G17" s="84" t="s">
        <v>177</v>
      </c>
      <c r="H17" s="73">
        <v>6324968</v>
      </c>
      <c r="I17" s="73">
        <v>3278186</v>
      </c>
      <c r="J17" s="73">
        <v>409177</v>
      </c>
      <c r="K17" s="111">
        <f t="shared" si="0"/>
        <v>10012331</v>
      </c>
      <c r="L17" s="112">
        <v>967759</v>
      </c>
    </row>
    <row r="18" spans="7:12">
      <c r="G18" s="84" t="s">
        <v>178</v>
      </c>
      <c r="H18" s="73">
        <v>6787900</v>
      </c>
      <c r="I18" s="73">
        <v>5038556</v>
      </c>
      <c r="J18" s="73">
        <v>459013</v>
      </c>
      <c r="K18" s="111">
        <f t="shared" si="0"/>
        <v>12285469</v>
      </c>
      <c r="L18" s="112">
        <v>12497445</v>
      </c>
    </row>
    <row r="19" spans="7:12">
      <c r="G19" s="119" t="s">
        <v>179</v>
      </c>
      <c r="H19" s="73">
        <v>2171061</v>
      </c>
      <c r="I19" s="73">
        <v>898478</v>
      </c>
      <c r="J19" s="73">
        <v>15300</v>
      </c>
      <c r="K19" s="111">
        <f t="shared" si="0"/>
        <v>3084839</v>
      </c>
      <c r="L19" s="112">
        <v>170900</v>
      </c>
    </row>
    <row r="20" spans="7:12">
      <c r="G20" s="93" t="s">
        <v>180</v>
      </c>
      <c r="H20" s="78">
        <f>IF(COUNT(H14:H19),SUM(H14:H16)-SUM(H17:H19),"")</f>
        <v>7678452</v>
      </c>
      <c r="I20" s="78">
        <f t="shared" ref="I20:L20" si="1">IF(COUNT(I14:I19),SUM(I14:I16)-SUM(I17:I19),"")</f>
        <v>1745944</v>
      </c>
      <c r="J20" s="78">
        <f t="shared" si="1"/>
        <v>48129</v>
      </c>
      <c r="K20" s="78">
        <f t="shared" si="1"/>
        <v>9472525</v>
      </c>
      <c r="L20" s="78">
        <f t="shared" si="1"/>
        <v>7664</v>
      </c>
    </row>
    <row r="21" spans="7:12">
      <c r="G21" s="83" t="s">
        <v>181</v>
      </c>
      <c r="H21" s="162"/>
      <c r="I21" s="163"/>
      <c r="J21" s="163"/>
      <c r="K21" s="163"/>
      <c r="L21" s="164"/>
    </row>
    <row r="22" spans="7:12">
      <c r="G22" s="126" t="s">
        <v>182</v>
      </c>
      <c r="H22" s="73">
        <v>45000</v>
      </c>
      <c r="I22" s="73">
        <v>0</v>
      </c>
      <c r="J22" s="73">
        <v>0</v>
      </c>
      <c r="K22" s="111">
        <f t="shared" ref="K22" si="2">+IF(COUNT(H22:J22),SUM(H22:J22),"")</f>
        <v>45000</v>
      </c>
      <c r="L22" s="112">
        <v>0</v>
      </c>
    </row>
    <row r="23" spans="7:12" ht="30">
      <c r="G23" s="93" t="s">
        <v>183</v>
      </c>
      <c r="H23" s="78">
        <f>IF(COUNT(H22),SUM(H22),"")</f>
        <v>45000</v>
      </c>
      <c r="I23" s="78">
        <f t="shared" ref="I23:L23" si="3">IF(COUNT(I22),SUM(I22),"")</f>
        <v>0</v>
      </c>
      <c r="J23" s="78">
        <f t="shared" si="3"/>
        <v>0</v>
      </c>
      <c r="K23" s="78">
        <f t="shared" si="3"/>
        <v>45000</v>
      </c>
      <c r="L23" s="78">
        <f t="shared" si="3"/>
        <v>0</v>
      </c>
    </row>
    <row r="24" spans="7:12">
      <c r="G24" s="83" t="s">
        <v>184</v>
      </c>
      <c r="H24" s="188"/>
      <c r="I24" s="189"/>
      <c r="J24" s="189"/>
      <c r="K24" s="189"/>
      <c r="L24" s="190"/>
    </row>
    <row r="25" spans="7:12">
      <c r="G25" s="118" t="s">
        <v>185</v>
      </c>
      <c r="H25" s="72">
        <v>535320</v>
      </c>
      <c r="I25" s="72">
        <v>0</v>
      </c>
      <c r="J25" s="72">
        <v>0</v>
      </c>
      <c r="K25" s="109">
        <f t="shared" ref="K25:K31" si="4">+IF(COUNT(H25:J25),SUM(H25:J25),"")</f>
        <v>535320</v>
      </c>
      <c r="L25" s="110">
        <v>0</v>
      </c>
    </row>
    <row r="26" spans="7:12">
      <c r="G26" s="84" t="s">
        <v>186</v>
      </c>
      <c r="H26" s="73">
        <v>21392410</v>
      </c>
      <c r="I26" s="73">
        <v>0</v>
      </c>
      <c r="J26" s="73">
        <v>0</v>
      </c>
      <c r="K26" s="111">
        <f t="shared" si="4"/>
        <v>21392410</v>
      </c>
      <c r="L26" s="112">
        <v>0</v>
      </c>
    </row>
    <row r="27" spans="7:12">
      <c r="G27" s="84" t="s">
        <v>187</v>
      </c>
      <c r="H27" s="73">
        <v>112213</v>
      </c>
      <c r="I27" s="73">
        <v>307134</v>
      </c>
      <c r="J27" s="73">
        <v>0</v>
      </c>
      <c r="K27" s="111">
        <f t="shared" si="4"/>
        <v>419347</v>
      </c>
      <c r="L27" s="112">
        <v>45985</v>
      </c>
    </row>
    <row r="28" spans="7:12">
      <c r="G28" s="84" t="s">
        <v>188</v>
      </c>
      <c r="H28" s="73">
        <v>45456726</v>
      </c>
      <c r="I28" s="73">
        <v>2334963</v>
      </c>
      <c r="J28" s="73">
        <v>21743</v>
      </c>
      <c r="K28" s="111">
        <f t="shared" si="4"/>
        <v>47813432</v>
      </c>
      <c r="L28" s="112">
        <v>3165</v>
      </c>
    </row>
    <row r="29" spans="7:12">
      <c r="G29" s="84" t="s">
        <v>160</v>
      </c>
      <c r="H29" s="73">
        <v>427848</v>
      </c>
      <c r="I29" s="73">
        <v>0</v>
      </c>
      <c r="J29" s="73">
        <v>0</v>
      </c>
      <c r="K29" s="111">
        <f t="shared" si="4"/>
        <v>427848</v>
      </c>
      <c r="L29" s="112">
        <v>0</v>
      </c>
    </row>
    <row r="30" spans="7:12">
      <c r="G30" s="84" t="s">
        <v>189</v>
      </c>
      <c r="H30" s="73">
        <v>609855</v>
      </c>
      <c r="I30" s="73">
        <v>0</v>
      </c>
      <c r="J30" s="73">
        <v>0</v>
      </c>
      <c r="K30" s="111">
        <f t="shared" si="4"/>
        <v>609855</v>
      </c>
      <c r="L30" s="112">
        <v>0</v>
      </c>
    </row>
    <row r="31" spans="7:12">
      <c r="G31" s="146" t="s">
        <v>190</v>
      </c>
      <c r="H31" s="73">
        <v>70730</v>
      </c>
      <c r="I31" s="73">
        <v>0</v>
      </c>
      <c r="J31" s="73">
        <v>0</v>
      </c>
      <c r="K31" s="111">
        <f t="shared" si="4"/>
        <v>70730</v>
      </c>
      <c r="L31" s="112">
        <v>0</v>
      </c>
    </row>
    <row r="32" spans="7:12">
      <c r="G32" s="127" t="s">
        <v>522</v>
      </c>
      <c r="H32" s="78">
        <f>IF(COUNT(H25:H31),SUM(H25:H27)-SUM(H28:H31),"")</f>
        <v>-24525216</v>
      </c>
      <c r="I32" s="78">
        <f t="shared" ref="I32:L32" si="5">IF(COUNT(I25:I31),SUM(I25:I27)-SUM(I28:I31),"")</f>
        <v>-2027829</v>
      </c>
      <c r="J32" s="78">
        <f t="shared" si="5"/>
        <v>-21743</v>
      </c>
      <c r="K32" s="78">
        <f t="shared" si="5"/>
        <v>-26574788</v>
      </c>
      <c r="L32" s="78">
        <f t="shared" si="5"/>
        <v>42820</v>
      </c>
    </row>
    <row r="33" spans="7:12" ht="32.25" customHeight="1">
      <c r="G33" s="127" t="s">
        <v>191</v>
      </c>
      <c r="H33" s="78">
        <f>IF(COUNT(H23,H32),SUM(H32)-SUM(H23),"")</f>
        <v>-24570216</v>
      </c>
      <c r="I33" s="78">
        <f t="shared" ref="I33:L33" si="6">IF(COUNT(I23,I32),SUM(I32)-SUM(I23),"")</f>
        <v>-2027829</v>
      </c>
      <c r="J33" s="78">
        <f t="shared" si="6"/>
        <v>-21743</v>
      </c>
      <c r="K33" s="78">
        <f t="shared" si="6"/>
        <v>-26619788</v>
      </c>
      <c r="L33" s="78">
        <f t="shared" si="6"/>
        <v>42820</v>
      </c>
    </row>
    <row r="34" spans="7:12">
      <c r="G34" s="83" t="s">
        <v>192</v>
      </c>
      <c r="H34" s="188"/>
      <c r="I34" s="189"/>
      <c r="J34" s="189"/>
      <c r="K34" s="189"/>
      <c r="L34" s="190"/>
    </row>
    <row r="35" spans="7:12">
      <c r="G35" s="128" t="s">
        <v>517</v>
      </c>
      <c r="H35" s="91">
        <v>362400</v>
      </c>
      <c r="I35" s="91">
        <v>48811</v>
      </c>
      <c r="J35" s="91">
        <v>3221</v>
      </c>
      <c r="K35" s="94">
        <f t="shared" ref="K35" si="7">+IF(COUNT(H35:J35),SUM(H35:J35),"")</f>
        <v>414432</v>
      </c>
      <c r="L35" s="91">
        <v>39753</v>
      </c>
    </row>
    <row r="36" spans="7:12">
      <c r="G36" s="127" t="s">
        <v>193</v>
      </c>
      <c r="H36" s="78">
        <f>IF(COUNT(H35),SUM(H35),"")</f>
        <v>362400</v>
      </c>
      <c r="I36" s="78">
        <f t="shared" ref="I36:L36" si="8">IF(COUNT(I35),SUM(I35),"")</f>
        <v>48811</v>
      </c>
      <c r="J36" s="78">
        <f t="shared" si="8"/>
        <v>3221</v>
      </c>
      <c r="K36" s="78">
        <f t="shared" si="8"/>
        <v>414432</v>
      </c>
      <c r="L36" s="78">
        <f t="shared" si="8"/>
        <v>39753</v>
      </c>
    </row>
    <row r="37" spans="7:12" ht="30">
      <c r="G37" s="127" t="s">
        <v>236</v>
      </c>
      <c r="H37" s="78">
        <f>IF(COUNT(H20,H33,H36),SUM(H20,H33,H36),"")</f>
        <v>-16529364</v>
      </c>
      <c r="I37" s="78">
        <f t="shared" ref="I37:L37" si="9">IF(COUNT(I20,I33,I36),SUM(I20,I33,I36),"")</f>
        <v>-233074</v>
      </c>
      <c r="J37" s="78">
        <f t="shared" si="9"/>
        <v>29607</v>
      </c>
      <c r="K37" s="78">
        <f t="shared" si="9"/>
        <v>-16732831</v>
      </c>
      <c r="L37" s="78">
        <f t="shared" si="9"/>
        <v>90237</v>
      </c>
    </row>
    <row r="38" spans="7:12" ht="30">
      <c r="G38" s="129" t="s">
        <v>194</v>
      </c>
      <c r="H38" s="91">
        <v>42012146</v>
      </c>
      <c r="I38" s="91">
        <v>6876985</v>
      </c>
      <c r="J38" s="91">
        <v>392361</v>
      </c>
      <c r="K38" s="94">
        <f t="shared" ref="K38" si="10">+IF(COUNT(H38:J38),SUM(H38:J38),"")</f>
        <v>49281492</v>
      </c>
      <c r="L38" s="124">
        <v>5817126</v>
      </c>
    </row>
    <row r="39" spans="7:12">
      <c r="G39" s="127" t="s">
        <v>195</v>
      </c>
      <c r="H39" s="78">
        <f>+IF(COUNT(H37:H38),SUM(H37:H38),"")</f>
        <v>25482782</v>
      </c>
      <c r="I39" s="78">
        <f t="shared" ref="I39:L39" si="11">+IF(COUNT(I37:I38),SUM(I37:I38),"")</f>
        <v>6643911</v>
      </c>
      <c r="J39" s="78">
        <f t="shared" si="11"/>
        <v>421968</v>
      </c>
      <c r="K39" s="78">
        <f t="shared" si="11"/>
        <v>32548661</v>
      </c>
      <c r="L39" s="78">
        <f t="shared" si="11"/>
        <v>5907363</v>
      </c>
    </row>
    <row r="40" spans="7:12" ht="18.75" customHeight="1">
      <c r="G40" s="82"/>
      <c r="H40" s="82"/>
      <c r="I40" s="82"/>
      <c r="J40" s="82"/>
      <c r="K40" s="82"/>
      <c r="L40" s="82"/>
    </row>
    <row r="41" spans="7:12" ht="27" customHeight="1">
      <c r="G41" s="202" t="s">
        <v>196</v>
      </c>
      <c r="H41" s="203"/>
      <c r="I41" s="203"/>
      <c r="J41" s="203"/>
      <c r="K41" s="203"/>
      <c r="L41" s="204"/>
    </row>
    <row r="42" spans="7:12">
      <c r="G42" s="92" t="s">
        <v>197</v>
      </c>
      <c r="H42" s="91">
        <v>3947580</v>
      </c>
      <c r="I42" s="91">
        <v>256768</v>
      </c>
      <c r="J42" s="91">
        <v>-161011</v>
      </c>
      <c r="K42" s="94">
        <f t="shared" ref="K42:K54" si="12">+IF(COUNT(H42:J42),SUM(H42:J42),"")</f>
        <v>4043337</v>
      </c>
      <c r="L42" s="124">
        <v>39097</v>
      </c>
    </row>
    <row r="43" spans="7:12" ht="30">
      <c r="G43" s="83" t="s">
        <v>198</v>
      </c>
      <c r="H43" s="162"/>
      <c r="I43" s="163"/>
      <c r="J43" s="163"/>
      <c r="K43" s="163"/>
      <c r="L43" s="164"/>
    </row>
    <row r="44" spans="7:12">
      <c r="G44" s="118" t="s">
        <v>199</v>
      </c>
      <c r="H44" s="72">
        <v>7516</v>
      </c>
      <c r="I44" s="72">
        <v>0</v>
      </c>
      <c r="J44" s="72">
        <v>12400</v>
      </c>
      <c r="K44" s="109">
        <f t="shared" si="12"/>
        <v>19916</v>
      </c>
      <c r="L44" s="110">
        <v>11576</v>
      </c>
    </row>
    <row r="45" spans="7:12">
      <c r="G45" s="119" t="s">
        <v>200</v>
      </c>
      <c r="H45" s="75">
        <v>4610391</v>
      </c>
      <c r="I45" s="75">
        <v>1399601</v>
      </c>
      <c r="J45" s="75">
        <v>190747</v>
      </c>
      <c r="K45" s="113">
        <f t="shared" si="12"/>
        <v>6200739</v>
      </c>
      <c r="L45" s="114">
        <v>34465</v>
      </c>
    </row>
    <row r="46" spans="7:12">
      <c r="G46" s="83" t="s">
        <v>201</v>
      </c>
      <c r="H46" s="162"/>
      <c r="I46" s="163"/>
      <c r="J46" s="163"/>
      <c r="K46" s="163"/>
      <c r="L46" s="164"/>
    </row>
    <row r="47" spans="7:12">
      <c r="G47" s="118" t="s">
        <v>202</v>
      </c>
      <c r="H47" s="72">
        <v>124548</v>
      </c>
      <c r="I47" s="72">
        <v>95973</v>
      </c>
      <c r="J47" s="72">
        <v>0</v>
      </c>
      <c r="K47" s="109">
        <f t="shared" si="12"/>
        <v>220521</v>
      </c>
      <c r="L47" s="110">
        <v>239545</v>
      </c>
    </row>
    <row r="48" spans="7:12">
      <c r="G48" s="130" t="s">
        <v>203</v>
      </c>
      <c r="H48" s="73">
        <v>-203737</v>
      </c>
      <c r="I48" s="73">
        <v>0</v>
      </c>
      <c r="J48" s="73">
        <v>1888</v>
      </c>
      <c r="K48" s="111">
        <f t="shared" si="12"/>
        <v>-201849</v>
      </c>
      <c r="L48" s="112">
        <v>80858</v>
      </c>
    </row>
    <row r="49" spans="7:12">
      <c r="G49" s="130" t="s">
        <v>204</v>
      </c>
      <c r="H49" s="115">
        <v>0</v>
      </c>
      <c r="I49" s="115">
        <v>0</v>
      </c>
      <c r="J49" s="115">
        <v>0</v>
      </c>
      <c r="K49" s="116">
        <f t="shared" si="12"/>
        <v>0</v>
      </c>
      <c r="L49" s="117">
        <v>326</v>
      </c>
    </row>
    <row r="50" spans="7:12">
      <c r="G50" s="130" t="s">
        <v>500</v>
      </c>
      <c r="H50" s="115">
        <v>720685</v>
      </c>
      <c r="I50" s="115">
        <v>-53189</v>
      </c>
      <c r="J50" s="115">
        <v>-13568</v>
      </c>
      <c r="K50" s="116">
        <f t="shared" si="12"/>
        <v>653928</v>
      </c>
      <c r="L50" s="117">
        <v>-28355</v>
      </c>
    </row>
    <row r="51" spans="7:12">
      <c r="G51" s="130" t="s">
        <v>502</v>
      </c>
      <c r="H51" s="115">
        <v>87581</v>
      </c>
      <c r="I51" s="115">
        <v>59587</v>
      </c>
      <c r="J51" s="115">
        <v>18678</v>
      </c>
      <c r="K51" s="116">
        <f t="shared" si="12"/>
        <v>165846</v>
      </c>
      <c r="L51" s="117">
        <v>34022</v>
      </c>
    </row>
    <row r="52" spans="7:12">
      <c r="G52" s="130" t="s">
        <v>504</v>
      </c>
      <c r="H52" s="73">
        <v>420</v>
      </c>
      <c r="I52" s="73">
        <v>0</v>
      </c>
      <c r="J52" s="73">
        <v>0</v>
      </c>
      <c r="K52" s="111">
        <f t="shared" si="12"/>
        <v>420</v>
      </c>
      <c r="L52" s="112">
        <v>0</v>
      </c>
    </row>
    <row r="53" spans="7:12">
      <c r="G53" s="130" t="s">
        <v>506</v>
      </c>
      <c r="H53" s="73">
        <v>0</v>
      </c>
      <c r="I53" s="73">
        <v>0</v>
      </c>
      <c r="J53" s="73">
        <v>9215</v>
      </c>
      <c r="K53" s="111">
        <f t="shared" si="12"/>
        <v>9215</v>
      </c>
      <c r="L53" s="112">
        <v>-262884</v>
      </c>
    </row>
    <row r="54" spans="7:12">
      <c r="G54" s="131" t="s">
        <v>519</v>
      </c>
      <c r="H54" s="132">
        <v>0</v>
      </c>
      <c r="I54" s="132">
        <v>0</v>
      </c>
      <c r="J54" s="132">
        <v>0</v>
      </c>
      <c r="K54" s="133">
        <f t="shared" si="12"/>
        <v>0</v>
      </c>
      <c r="L54" s="134">
        <v>129000</v>
      </c>
    </row>
    <row r="55" spans="7:12">
      <c r="G55" s="127" t="s">
        <v>205</v>
      </c>
      <c r="H55" s="78">
        <f>IF(COUNT(H47:H54),+SUM(H47:H48,H52,H53)-SUM(H49:H51,H54),"")</f>
        <v>-887035</v>
      </c>
      <c r="I55" s="78">
        <f t="shared" ref="I55:L55" si="13">IF(COUNT(I47:I54),+SUM(I47:I48,I52,I53)-SUM(I49:I51,I54),"")</f>
        <v>89575</v>
      </c>
      <c r="J55" s="78">
        <f t="shared" si="13"/>
        <v>5993</v>
      </c>
      <c r="K55" s="78">
        <f t="shared" si="13"/>
        <v>-791467</v>
      </c>
      <c r="L55" s="78">
        <f t="shared" si="13"/>
        <v>-77474</v>
      </c>
    </row>
    <row r="56" spans="7:12" ht="30">
      <c r="G56" s="127" t="s">
        <v>206</v>
      </c>
      <c r="H56" s="78">
        <f>IF(COUNT(H44:H45,H55),SUM(H44:H45,H55),"")</f>
        <v>3730872</v>
      </c>
      <c r="I56" s="78">
        <f t="shared" ref="I56:L56" si="14">IF(COUNT(I44:I45,I55),SUM(I44:I45,I55),"")</f>
        <v>1489176</v>
      </c>
      <c r="J56" s="78">
        <f t="shared" si="14"/>
        <v>209140</v>
      </c>
      <c r="K56" s="78">
        <f t="shared" si="14"/>
        <v>5429188</v>
      </c>
      <c r="L56" s="78">
        <f t="shared" si="14"/>
        <v>-31433</v>
      </c>
    </row>
    <row r="57" spans="7:12">
      <c r="G57" s="127" t="s">
        <v>180</v>
      </c>
      <c r="H57" s="78">
        <f>IF(COUNT(H42,H56),SUM(H42,H56),"")</f>
        <v>7678452</v>
      </c>
      <c r="I57" s="78">
        <f t="shared" ref="I57:L57" si="15">IF(COUNT(I42,I56),SUM(I42,I56),"")</f>
        <v>1745944</v>
      </c>
      <c r="J57" s="78">
        <f t="shared" si="15"/>
        <v>48129</v>
      </c>
      <c r="K57" s="78">
        <f t="shared" si="15"/>
        <v>9472525</v>
      </c>
      <c r="L57" s="78">
        <f t="shared" si="15"/>
        <v>7664</v>
      </c>
    </row>
    <row r="58" spans="7:12"/>
  </sheetData>
  <sheetProtection algorithmName="SHA-512" hashValue="2V9ZrFnT5O0iUQghkiTbQHPxk76hcE1gLwRkodqWXsPzzV55LNIh+XYsInjvWmayK0PTMc22/KMf+KPEtvUAxw==" saltValue="jGWk1StMQXSu9a7NWFKXfw==" spinCount="100000" sheet="1" objects="1" scenarios="1"/>
  <mergeCells count="11">
    <mergeCell ref="G10:K10"/>
    <mergeCell ref="G41:L41"/>
    <mergeCell ref="H43:L43"/>
    <mergeCell ref="H46:L46"/>
    <mergeCell ref="H11:K11"/>
    <mergeCell ref="H13:L13"/>
    <mergeCell ref="H21:L21"/>
    <mergeCell ref="H24:L24"/>
    <mergeCell ref="H34:L34"/>
    <mergeCell ref="L11:L12"/>
    <mergeCell ref="G11:G12"/>
  </mergeCells>
  <dataValidations disablePrompts="1" count="1">
    <dataValidation type="whole" allowBlank="1" showInputMessage="1" showErrorMessage="1" sqref="H14:L20 H22:L23 H47:L57 H25:L33 H42:L42 H44:L45 H35:L39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Taxonomy</vt:lpstr>
      <vt:lpstr>Gov Fund St of Rev Exp &amp; Bal</vt:lpstr>
      <vt:lpstr>Prop Fund St of Net Position</vt:lpstr>
      <vt:lpstr>Prop Fund St Rev Exp &amp; Bal</vt:lpstr>
      <vt:lpstr>St of Cash Flow - Prop Funds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2017-12-16T08:17:29Z</dcterms:modified>
</cp:coreProperties>
</file>