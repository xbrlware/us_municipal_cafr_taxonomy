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ofe\"/>
    </mc:Choice>
  </mc:AlternateContent>
  <bookViews>
    <workbookView xWindow="0" yWindow="0" windowWidth="20490" windowHeight="7455" tabRatio="932" firstSheet="5" activeTab="6"/>
  </bookViews>
  <sheets>
    <sheet name="General Info" sheetId="1" r:id="rId1"/>
    <sheet name="Statement of Net Position" sheetId="2" r:id="rId2"/>
    <sheet name="Statement of Activities" sheetId="3" r:id="rId3"/>
    <sheet name="Governmental Fund Balance Sheet" sheetId="4" r:id="rId4"/>
    <sheet name="Gov Fund St of Rev Exp &amp; Bal" sheetId="5" r:id="rId5"/>
    <sheet name="Prop Fund St of Net Position" sheetId="6" r:id="rId6"/>
    <sheet name="Prop Fund St Rev Exp &amp; Bal" sheetId="7" r:id="rId7"/>
    <sheet name="St of Cash Flow - Prop Funds" sheetId="8" r:id="rId8"/>
    <sheet name="OPEB Tempate V1" sheetId="11" r:id="rId9"/>
    <sheet name="Pension Template V1" sheetId="12" r:id="rId10"/>
    <sheet name="Taxonomy" sheetId="10" state="hidden" r:id="rId11"/>
  </sheets>
  <functionGroups builtInGroupCount="18"/>
  <definedNames>
    <definedName name="_xlnm._FilterDatabase" localSheetId="10" hidden="1">Taxonomy!$A$1:$E$329</definedName>
  </definedNames>
  <calcPr calcId="152511"/>
</workbook>
</file>

<file path=xl/calcChain.xml><?xml version="1.0" encoding="utf-8"?>
<calcChain xmlns="http://schemas.openxmlformats.org/spreadsheetml/2006/main">
  <c r="N71" i="8" l="1"/>
  <c r="N70" i="8"/>
  <c r="N69" i="8"/>
  <c r="N68" i="8"/>
  <c r="N67" i="8"/>
  <c r="N66" i="8"/>
  <c r="N65" i="8"/>
  <c r="N64" i="8"/>
  <c r="N63" i="8"/>
  <c r="N62" i="8"/>
  <c r="N61" i="8"/>
  <c r="N60" i="8"/>
  <c r="N59" i="8"/>
  <c r="N58" i="8"/>
  <c r="N57" i="8"/>
  <c r="N52" i="8"/>
  <c r="N55" i="8"/>
  <c r="N54" i="8"/>
  <c r="N48" i="8"/>
  <c r="N45" i="8"/>
  <c r="N41" i="8"/>
  <c r="N40" i="8"/>
  <c r="N39" i="8"/>
  <c r="N38" i="8"/>
  <c r="N37" i="8"/>
  <c r="N36" i="8"/>
  <c r="N35" i="8"/>
  <c r="N34" i="8"/>
  <c r="N33" i="8"/>
  <c r="N32" i="8"/>
  <c r="N31" i="8"/>
  <c r="N28" i="8"/>
  <c r="N27" i="8"/>
  <c r="N26" i="8"/>
  <c r="N25" i="8"/>
  <c r="N22" i="8"/>
  <c r="N21" i="8"/>
  <c r="N20" i="8"/>
  <c r="N19" i="8"/>
  <c r="N18" i="8"/>
  <c r="N17" i="8"/>
  <c r="N16" i="8"/>
  <c r="N15" i="8"/>
  <c r="N14" i="8"/>
  <c r="N29" i="6"/>
  <c r="N31" i="6"/>
  <c r="N32" i="6"/>
  <c r="N33" i="6"/>
  <c r="N34" i="6"/>
  <c r="N63" i="5"/>
  <c r="O63" i="5"/>
  <c r="P63" i="5"/>
  <c r="Q63" i="5"/>
  <c r="N30" i="6" l="1"/>
  <c r="K46" i="8"/>
  <c r="M46" i="8" l="1"/>
  <c r="K47" i="7"/>
  <c r="M47" i="7"/>
  <c r="L47" i="7"/>
  <c r="H63" i="5"/>
  <c r="L46" i="8" l="1"/>
  <c r="J64" i="2"/>
  <c r="N33" i="3" l="1"/>
  <c r="N34" i="3"/>
  <c r="J68" i="2"/>
  <c r="J66" i="2"/>
  <c r="N48" i="3"/>
  <c r="K27" i="6" l="1"/>
  <c r="J65" i="2"/>
  <c r="J63" i="2"/>
  <c r="J62" i="2"/>
  <c r="J61" i="2"/>
  <c r="J60" i="2"/>
  <c r="J59" i="2"/>
  <c r="J57" i="2"/>
  <c r="J54" i="2"/>
  <c r="J53" i="2"/>
  <c r="J49" i="2"/>
  <c r="J48" i="2"/>
  <c r="J47" i="2"/>
  <c r="J45" i="2"/>
  <c r="J44" i="2"/>
  <c r="J43" i="2"/>
  <c r="J42" i="2"/>
  <c r="J38" i="2"/>
  <c r="J37" i="2"/>
  <c r="J33" i="2"/>
  <c r="J32" i="2"/>
  <c r="J31" i="2"/>
  <c r="J30" i="2"/>
  <c r="J14" i="2"/>
  <c r="J28" i="2"/>
  <c r="J27" i="2"/>
  <c r="J26" i="2"/>
  <c r="J25" i="2"/>
  <c r="J24" i="2"/>
  <c r="J23" i="2"/>
  <c r="J22" i="2"/>
  <c r="J21" i="2"/>
  <c r="J19" i="2"/>
  <c r="J18" i="2"/>
  <c r="J17" i="2"/>
  <c r="J16" i="2"/>
  <c r="I76" i="6"/>
  <c r="H76" i="6"/>
  <c r="N73" i="6"/>
  <c r="N72" i="6"/>
  <c r="M54" i="7" l="1"/>
  <c r="L54" i="7"/>
  <c r="K56" i="6"/>
  <c r="K54" i="7"/>
  <c r="I78" i="6"/>
  <c r="H78" i="6"/>
  <c r="K35" i="6"/>
  <c r="K37" i="6" s="1"/>
  <c r="L35" i="6"/>
  <c r="M35" i="6"/>
  <c r="L27" i="6"/>
  <c r="M27" i="6"/>
  <c r="N36" i="3"/>
  <c r="R50" i="5"/>
  <c r="N35" i="3"/>
  <c r="J50" i="2"/>
  <c r="J51" i="2" s="1"/>
  <c r="J34" i="2"/>
  <c r="R42" i="4"/>
  <c r="R41" i="4"/>
  <c r="R40" i="4"/>
  <c r="R39" i="4"/>
  <c r="R27" i="4"/>
  <c r="R26" i="4"/>
  <c r="R25" i="4"/>
  <c r="M56" i="6" l="1"/>
  <c r="L56" i="6"/>
  <c r="N74" i="6"/>
  <c r="K29" i="8"/>
  <c r="K19" i="7"/>
  <c r="M37" i="6"/>
  <c r="L37" i="6"/>
  <c r="H29" i="8"/>
  <c r="N37" i="3"/>
  <c r="I29" i="8"/>
  <c r="J29" i="8"/>
  <c r="N38" i="3"/>
  <c r="N75" i="6" l="1"/>
  <c r="J76" i="6"/>
  <c r="K76" i="6"/>
  <c r="M76" i="6"/>
  <c r="L76" i="6"/>
  <c r="M29" i="8"/>
  <c r="L29" i="8"/>
  <c r="M19" i="7"/>
  <c r="L19" i="7"/>
  <c r="O29" i="8"/>
  <c r="N29" i="8"/>
  <c r="N39" i="3"/>
  <c r="M29" i="3"/>
  <c r="N29" i="3" s="1"/>
  <c r="M28" i="3"/>
  <c r="N28" i="3" s="1"/>
  <c r="M27" i="3"/>
  <c r="N27" i="3" s="1"/>
  <c r="M26" i="3"/>
  <c r="N26" i="3" s="1"/>
  <c r="L18" i="3"/>
  <c r="N18" i="3" s="1"/>
  <c r="N76" i="6" l="1"/>
  <c r="M78" i="6"/>
  <c r="O76" i="6"/>
  <c r="L19" i="3"/>
  <c r="N19" i="3" s="1"/>
  <c r="H23" i="8"/>
  <c r="R44" i="5"/>
  <c r="N40" i="3"/>
  <c r="J78" i="6" l="1"/>
  <c r="K78" i="6"/>
  <c r="L78" i="6"/>
  <c r="M23" i="6"/>
  <c r="M38" i="6" s="1"/>
  <c r="L23" i="6"/>
  <c r="L38" i="6" s="1"/>
  <c r="K23" i="6"/>
  <c r="K38" i="6" s="1"/>
  <c r="N41" i="3"/>
  <c r="N53" i="7"/>
  <c r="N52" i="7"/>
  <c r="I54" i="7"/>
  <c r="J54" i="7"/>
  <c r="H54" i="7"/>
  <c r="N44" i="7"/>
  <c r="N43" i="7"/>
  <c r="N42" i="7"/>
  <c r="N64" i="6"/>
  <c r="N63" i="6"/>
  <c r="N55" i="6"/>
  <c r="N54" i="6"/>
  <c r="N48" i="6"/>
  <c r="N47" i="6"/>
  <c r="N46" i="6"/>
  <c r="I56" i="6"/>
  <c r="J56" i="6"/>
  <c r="H56" i="6"/>
  <c r="N36" i="6"/>
  <c r="N20" i="6"/>
  <c r="O54" i="7" l="1"/>
  <c r="J23" i="8"/>
  <c r="L66" i="6"/>
  <c r="K66" i="6"/>
  <c r="N65" i="6"/>
  <c r="M66" i="6"/>
  <c r="O56" i="6"/>
  <c r="I23" i="8"/>
  <c r="N45" i="7"/>
  <c r="L21" i="3"/>
  <c r="N21" i="3" s="1"/>
  <c r="L20" i="3"/>
  <c r="N20" i="3" s="1"/>
  <c r="N42" i="3"/>
  <c r="N56" i="6"/>
  <c r="N54" i="7"/>
  <c r="J56" i="7" l="1"/>
  <c r="M23" i="8"/>
  <c r="L23" i="8"/>
  <c r="K56" i="7"/>
  <c r="H56" i="7"/>
  <c r="I56" i="7"/>
  <c r="K23" i="8"/>
  <c r="N50" i="6"/>
  <c r="N49" i="6"/>
  <c r="N43" i="3"/>
  <c r="R36" i="5"/>
  <c r="R35" i="5"/>
  <c r="R34" i="5"/>
  <c r="R33" i="5"/>
  <c r="R32" i="5"/>
  <c r="R31" i="5"/>
  <c r="R30" i="5"/>
  <c r="R29" i="5"/>
  <c r="R28" i="5"/>
  <c r="R26" i="5"/>
  <c r="R25" i="5"/>
  <c r="R24" i="5"/>
  <c r="R20" i="5"/>
  <c r="R19" i="5"/>
  <c r="R18" i="5"/>
  <c r="R17" i="5"/>
  <c r="R16" i="5"/>
  <c r="R15" i="5"/>
  <c r="R14" i="5"/>
  <c r="I27" i="5"/>
  <c r="J27" i="5"/>
  <c r="K27" i="5"/>
  <c r="L27" i="5"/>
  <c r="M27" i="5"/>
  <c r="N27" i="5"/>
  <c r="O27" i="5"/>
  <c r="P27" i="5"/>
  <c r="Q27" i="5"/>
  <c r="H27" i="5"/>
  <c r="I21" i="5"/>
  <c r="J21" i="5"/>
  <c r="K21" i="5"/>
  <c r="L21" i="5"/>
  <c r="M21" i="5"/>
  <c r="N21" i="5"/>
  <c r="O21" i="5"/>
  <c r="P21" i="5"/>
  <c r="Q21" i="5"/>
  <c r="H21" i="5"/>
  <c r="M56" i="7" l="1"/>
  <c r="L56" i="7"/>
  <c r="R22" i="5"/>
  <c r="H42" i="8"/>
  <c r="N44" i="3"/>
  <c r="H37" i="5"/>
  <c r="N37" i="5"/>
  <c r="J37" i="5"/>
  <c r="Q37" i="5"/>
  <c r="M37" i="5"/>
  <c r="I37" i="5"/>
  <c r="P37" i="5"/>
  <c r="L37" i="5"/>
  <c r="O37" i="5"/>
  <c r="K37" i="5"/>
  <c r="R21" i="5"/>
  <c r="R27" i="5"/>
  <c r="N45" i="3" l="1"/>
  <c r="H57" i="6"/>
  <c r="N51" i="6"/>
  <c r="R37" i="5"/>
  <c r="R52" i="4"/>
  <c r="R51" i="4"/>
  <c r="R50" i="4"/>
  <c r="R49" i="4"/>
  <c r="R46" i="4"/>
  <c r="R45" i="4"/>
  <c r="R38" i="4"/>
  <c r="R37" i="4"/>
  <c r="R36" i="4"/>
  <c r="R35" i="4"/>
  <c r="R34" i="4"/>
  <c r="R30" i="4"/>
  <c r="R29" i="4"/>
  <c r="R28" i="4"/>
  <c r="R24" i="4"/>
  <c r="R22" i="4"/>
  <c r="R21" i="4"/>
  <c r="R20" i="4"/>
  <c r="R19" i="4"/>
  <c r="R18" i="4"/>
  <c r="R17" i="4"/>
  <c r="R15" i="4"/>
  <c r="R14" i="4"/>
  <c r="R13" i="4"/>
  <c r="R51" i="5"/>
  <c r="R49" i="5"/>
  <c r="R47" i="5"/>
  <c r="R45" i="5"/>
  <c r="R43" i="5"/>
  <c r="R42" i="5"/>
  <c r="R41" i="5"/>
  <c r="R40" i="5"/>
  <c r="R13" i="5"/>
  <c r="J57" i="6" l="1"/>
  <c r="I57" i="6"/>
  <c r="N52" i="6"/>
  <c r="I42" i="8"/>
  <c r="H72" i="8"/>
  <c r="L11" i="5"/>
  <c r="K11" i="5"/>
  <c r="J11" i="5"/>
  <c r="I35" i="6"/>
  <c r="J35" i="6"/>
  <c r="H35" i="6"/>
  <c r="M53" i="4"/>
  <c r="N53" i="4"/>
  <c r="O53" i="4"/>
  <c r="P53" i="4"/>
  <c r="Q53" i="4"/>
  <c r="Q47" i="4"/>
  <c r="P47" i="4"/>
  <c r="O47" i="4"/>
  <c r="N47" i="4"/>
  <c r="M47" i="4"/>
  <c r="Q43" i="4"/>
  <c r="P43" i="4"/>
  <c r="O43" i="4"/>
  <c r="N43" i="4"/>
  <c r="M43" i="4"/>
  <c r="Q23" i="4"/>
  <c r="Q31" i="4" s="1"/>
  <c r="P23" i="4"/>
  <c r="P31" i="4" s="1"/>
  <c r="O23" i="4"/>
  <c r="O31" i="4" s="1"/>
  <c r="N23" i="4"/>
  <c r="N31" i="4" s="1"/>
  <c r="M23" i="4"/>
  <c r="M31" i="4" s="1"/>
  <c r="M52" i="5"/>
  <c r="N52" i="5"/>
  <c r="O52" i="5"/>
  <c r="P52" i="5"/>
  <c r="Q52" i="5"/>
  <c r="M46" i="5"/>
  <c r="N46" i="5"/>
  <c r="O46" i="5"/>
  <c r="P46" i="5"/>
  <c r="Q46" i="5"/>
  <c r="K57" i="6" l="1"/>
  <c r="K67" i="6" s="1"/>
  <c r="Q53" i="5"/>
  <c r="Q54" i="5" s="1"/>
  <c r="Q64" i="5" s="1"/>
  <c r="Q66" i="5" s="1"/>
  <c r="J42" i="8"/>
  <c r="J43" i="8" s="1"/>
  <c r="O42" i="8"/>
  <c r="O43" i="8" s="1"/>
  <c r="N42" i="8"/>
  <c r="I72" i="8"/>
  <c r="H73" i="8"/>
  <c r="H74" i="8" s="1"/>
  <c r="N54" i="4"/>
  <c r="N53" i="5"/>
  <c r="N54" i="5" s="1"/>
  <c r="N64" i="5" s="1"/>
  <c r="N66" i="5" s="1"/>
  <c r="O53" i="5"/>
  <c r="O54" i="5" s="1"/>
  <c r="O64" i="5" s="1"/>
  <c r="O66" i="5" s="1"/>
  <c r="P53" i="5"/>
  <c r="P54" i="5" s="1"/>
  <c r="P64" i="5" s="1"/>
  <c r="P66" i="5" s="1"/>
  <c r="Q54" i="4"/>
  <c r="O54" i="4"/>
  <c r="P54" i="4"/>
  <c r="R46" i="5"/>
  <c r="M53" i="5"/>
  <c r="M54" i="5" s="1"/>
  <c r="R47" i="4"/>
  <c r="M54" i="4"/>
  <c r="R43" i="4"/>
  <c r="R23" i="4"/>
  <c r="R53" i="4"/>
  <c r="R52" i="5"/>
  <c r="Q11" i="5"/>
  <c r="O11" i="5"/>
  <c r="N11" i="5"/>
  <c r="P11" i="5"/>
  <c r="N25" i="7"/>
  <c r="N55" i="7"/>
  <c r="L17" i="3"/>
  <c r="N17" i="3" s="1"/>
  <c r="L16" i="3"/>
  <c r="N16" i="3" s="1"/>
  <c r="L15" i="3"/>
  <c r="N15" i="3" s="1"/>
  <c r="L14" i="3"/>
  <c r="N14" i="3" s="1"/>
  <c r="N77" i="6"/>
  <c r="N15" i="6"/>
  <c r="M46" i="3"/>
  <c r="L46" i="3"/>
  <c r="I30" i="3"/>
  <c r="J30" i="3"/>
  <c r="K30" i="3"/>
  <c r="H30" i="3"/>
  <c r="M25" i="3"/>
  <c r="N25" i="3" s="1"/>
  <c r="M24" i="3"/>
  <c r="N24" i="3" s="1"/>
  <c r="I22" i="3"/>
  <c r="J22" i="3"/>
  <c r="K22" i="3"/>
  <c r="H22" i="3"/>
  <c r="I43" i="8"/>
  <c r="I46" i="8"/>
  <c r="J46" i="8"/>
  <c r="H46" i="8"/>
  <c r="H43" i="8"/>
  <c r="N50" i="7"/>
  <c r="N46" i="7"/>
  <c r="N41" i="7"/>
  <c r="N40" i="7"/>
  <c r="N39" i="7"/>
  <c r="N33" i="7"/>
  <c r="N32" i="7"/>
  <c r="N31" i="7"/>
  <c r="N30" i="7"/>
  <c r="N29" i="7"/>
  <c r="N28" i="7"/>
  <c r="N27" i="7"/>
  <c r="N26" i="7"/>
  <c r="N24" i="7"/>
  <c r="N23" i="7"/>
  <c r="N22" i="7"/>
  <c r="N21" i="7"/>
  <c r="N18" i="7"/>
  <c r="N17" i="7"/>
  <c r="N16" i="7"/>
  <c r="N15" i="7"/>
  <c r="N14" i="7"/>
  <c r="I47" i="7"/>
  <c r="J47" i="7"/>
  <c r="H47" i="7"/>
  <c r="I19" i="7"/>
  <c r="J19" i="7"/>
  <c r="H19" i="7"/>
  <c r="N70" i="6"/>
  <c r="N62" i="6"/>
  <c r="N61" i="6"/>
  <c r="N60" i="6"/>
  <c r="N59" i="6"/>
  <c r="N45" i="6"/>
  <c r="N44" i="6"/>
  <c r="N43" i="6"/>
  <c r="N42" i="6"/>
  <c r="N26" i="6"/>
  <c r="N25" i="6"/>
  <c r="N22" i="6"/>
  <c r="N21" i="6"/>
  <c r="N19" i="6"/>
  <c r="N18" i="6"/>
  <c r="N17" i="6"/>
  <c r="N16" i="6"/>
  <c r="I66" i="6"/>
  <c r="J66" i="6"/>
  <c r="H66" i="6"/>
  <c r="I27" i="6"/>
  <c r="I37" i="6" s="1"/>
  <c r="J27" i="6"/>
  <c r="J37" i="6" s="1"/>
  <c r="H27" i="6"/>
  <c r="H37" i="6" s="1"/>
  <c r="I23" i="6"/>
  <c r="J23" i="6"/>
  <c r="H23" i="6"/>
  <c r="I52" i="5"/>
  <c r="J52" i="5"/>
  <c r="K52" i="5"/>
  <c r="L52" i="5"/>
  <c r="H52" i="5"/>
  <c r="I46" i="5"/>
  <c r="J46" i="5"/>
  <c r="K46" i="5"/>
  <c r="L46" i="5"/>
  <c r="H46" i="5"/>
  <c r="I53" i="4"/>
  <c r="J53" i="4"/>
  <c r="K53" i="4"/>
  <c r="L53" i="4"/>
  <c r="H53" i="4"/>
  <c r="I47" i="4"/>
  <c r="J47" i="4"/>
  <c r="K47" i="4"/>
  <c r="L47" i="4"/>
  <c r="H47" i="4"/>
  <c r="I43" i="4"/>
  <c r="J43" i="4"/>
  <c r="K43" i="4"/>
  <c r="L43" i="4"/>
  <c r="H43" i="4"/>
  <c r="I23" i="4"/>
  <c r="I31" i="4" s="1"/>
  <c r="J23" i="4"/>
  <c r="J31" i="4" s="1"/>
  <c r="K23" i="4"/>
  <c r="K31" i="4" s="1"/>
  <c r="L23" i="4"/>
  <c r="L31" i="4" s="1"/>
  <c r="H23" i="4"/>
  <c r="H31" i="4" s="1"/>
  <c r="H20" i="2"/>
  <c r="I67" i="2"/>
  <c r="I69" i="2" s="1"/>
  <c r="H67" i="2"/>
  <c r="H69" i="2" s="1"/>
  <c r="I55" i="2"/>
  <c r="H55" i="2"/>
  <c r="J39" i="2"/>
  <c r="J40" i="2" s="1"/>
  <c r="O56" i="7" l="1"/>
  <c r="O23" i="8"/>
  <c r="N23" i="8"/>
  <c r="O57" i="6"/>
  <c r="N78" i="6"/>
  <c r="N80" i="6" s="1"/>
  <c r="O78" i="6"/>
  <c r="M57" i="6"/>
  <c r="M67" i="6" s="1"/>
  <c r="L57" i="6"/>
  <c r="L67" i="6" s="1"/>
  <c r="K42" i="8"/>
  <c r="K43" i="8" s="1"/>
  <c r="K47" i="8" s="1"/>
  <c r="O47" i="7"/>
  <c r="O19" i="7"/>
  <c r="O66" i="6"/>
  <c r="O27" i="6"/>
  <c r="O23" i="6"/>
  <c r="O35" i="6"/>
  <c r="N46" i="8"/>
  <c r="O46" i="8"/>
  <c r="I73" i="8"/>
  <c r="I74" i="8" s="1"/>
  <c r="N56" i="7"/>
  <c r="N57" i="6"/>
  <c r="N35" i="6"/>
  <c r="N43" i="8"/>
  <c r="H47" i="8"/>
  <c r="H49" i="8" s="1"/>
  <c r="J47" i="8"/>
  <c r="J49" i="8" s="1"/>
  <c r="I47" i="8"/>
  <c r="I49" i="8" s="1"/>
  <c r="R53" i="5"/>
  <c r="R31" i="4"/>
  <c r="R54" i="4"/>
  <c r="L53" i="5"/>
  <c r="L54" i="5" s="1"/>
  <c r="I54" i="4"/>
  <c r="J31" i="3"/>
  <c r="N47" i="7"/>
  <c r="K31" i="3"/>
  <c r="I31" i="3"/>
  <c r="N19" i="7"/>
  <c r="N27" i="6"/>
  <c r="J53" i="5"/>
  <c r="J54" i="5" s="1"/>
  <c r="K53" i="5"/>
  <c r="K54" i="5" s="1"/>
  <c r="I53" i="5"/>
  <c r="I54" i="5" s="1"/>
  <c r="H54" i="4"/>
  <c r="N30" i="3"/>
  <c r="L22" i="3"/>
  <c r="L31" i="3" s="1"/>
  <c r="L47" i="3" s="1"/>
  <c r="L49" i="3" s="1"/>
  <c r="N22" i="3"/>
  <c r="J67" i="2"/>
  <c r="J69" i="2" s="1"/>
  <c r="J55" i="2"/>
  <c r="N23" i="6"/>
  <c r="H31" i="3"/>
  <c r="M30" i="3"/>
  <c r="M31" i="3" s="1"/>
  <c r="M47" i="3" s="1"/>
  <c r="M49" i="3" s="1"/>
  <c r="N46" i="3"/>
  <c r="J38" i="6"/>
  <c r="J67" i="6"/>
  <c r="I38" i="6"/>
  <c r="H67" i="6"/>
  <c r="H38" i="6"/>
  <c r="I67" i="6"/>
  <c r="N66" i="6"/>
  <c r="H53" i="5"/>
  <c r="L54" i="4"/>
  <c r="J54" i="4"/>
  <c r="K54" i="4"/>
  <c r="O47" i="8" l="1"/>
  <c r="O49" i="8" s="1"/>
  <c r="N35" i="7"/>
  <c r="O67" i="6"/>
  <c r="H36" i="7"/>
  <c r="H37" i="7" s="1"/>
  <c r="H48" i="7" s="1"/>
  <c r="H57" i="7" s="1"/>
  <c r="H59" i="7" s="1"/>
  <c r="I36" i="7"/>
  <c r="I37" i="7" s="1"/>
  <c r="I48" i="7" s="1"/>
  <c r="I57" i="7" s="1"/>
  <c r="J72" i="8"/>
  <c r="J73" i="8" s="1"/>
  <c r="J74" i="8" s="1"/>
  <c r="M42" i="8"/>
  <c r="M43" i="8" s="1"/>
  <c r="M47" i="8" s="1"/>
  <c r="L42" i="8"/>
  <c r="L43" i="8" s="1"/>
  <c r="L47" i="8" s="1"/>
  <c r="N68" i="6"/>
  <c r="O37" i="6"/>
  <c r="O38" i="6" s="1"/>
  <c r="N72" i="8"/>
  <c r="N37" i="6"/>
  <c r="N38" i="6" s="1"/>
  <c r="N47" i="8"/>
  <c r="N49" i="8" s="1"/>
  <c r="N67" i="6"/>
  <c r="H54" i="5"/>
  <c r="N31" i="3"/>
  <c r="N47" i="3" s="1"/>
  <c r="N49" i="3" s="1"/>
  <c r="J36" i="7" l="1"/>
  <c r="J37" i="7" s="1"/>
  <c r="J48" i="7" s="1"/>
  <c r="J57" i="7" s="1"/>
  <c r="N34" i="7"/>
  <c r="K36" i="7"/>
  <c r="K37" i="7" s="1"/>
  <c r="K48" i="7" s="1"/>
  <c r="K57" i="7" s="1"/>
  <c r="K72" i="8"/>
  <c r="K73" i="8" s="1"/>
  <c r="K74" i="8" s="1"/>
  <c r="N39" i="6"/>
  <c r="N73" i="8"/>
  <c r="N74" i="8" s="1"/>
  <c r="O72" i="8"/>
  <c r="M36" i="7" l="1"/>
  <c r="M37" i="7" s="1"/>
  <c r="M48" i="7" s="1"/>
  <c r="M57" i="7" s="1"/>
  <c r="L36" i="7"/>
  <c r="L37" i="7" s="1"/>
  <c r="L48" i="7" s="1"/>
  <c r="L57" i="7" s="1"/>
  <c r="O36" i="7"/>
  <c r="O37" i="7" s="1"/>
  <c r="O48" i="7" s="1"/>
  <c r="O57" i="7" s="1"/>
  <c r="N36" i="7"/>
  <c r="N37" i="7" s="1"/>
  <c r="N48" i="7" s="1"/>
  <c r="N57" i="7" s="1"/>
  <c r="N60" i="7" s="1"/>
  <c r="N62" i="7" s="1"/>
  <c r="M72" i="8"/>
  <c r="M73" i="8" s="1"/>
  <c r="M74" i="8" s="1"/>
  <c r="L72" i="8"/>
  <c r="L73" i="8" s="1"/>
  <c r="L74" i="8" s="1"/>
  <c r="O73" i="8"/>
  <c r="O74" i="8" s="1"/>
  <c r="I59" i="7"/>
  <c r="R56" i="5"/>
  <c r="I50" i="2"/>
  <c r="H50" i="2"/>
  <c r="H51" i="2" s="1"/>
  <c r="I40" i="2"/>
  <c r="H40" i="2"/>
  <c r="I34" i="2"/>
  <c r="H34" i="2"/>
  <c r="I20" i="2"/>
  <c r="J20" i="2" s="1"/>
  <c r="J59" i="7" l="1"/>
  <c r="N58" i="7"/>
  <c r="O59" i="7" s="1"/>
  <c r="I51" i="2"/>
  <c r="I35" i="2"/>
  <c r="H35" i="2"/>
  <c r="K59" i="7" l="1"/>
  <c r="N59" i="7"/>
  <c r="R54" i="5"/>
  <c r="J35" i="2"/>
  <c r="M11" i="5"/>
  <c r="M59" i="7" l="1"/>
  <c r="L59" i="7"/>
  <c r="R58" i="5"/>
  <c r="R59" i="5" l="1"/>
  <c r="I63" i="5" l="1"/>
  <c r="R57" i="5"/>
  <c r="R61" i="5"/>
  <c r="H64" i="5"/>
  <c r="H66" i="5" l="1"/>
  <c r="J63" i="5"/>
  <c r="I64" i="5"/>
  <c r="R60" i="5" l="1"/>
  <c r="K63" i="5"/>
  <c r="J64" i="5"/>
  <c r="I66" i="5" l="1"/>
  <c r="J66" i="5"/>
  <c r="R65" i="5"/>
  <c r="L63" i="5"/>
  <c r="K64" i="5"/>
  <c r="K66" i="5" s="1"/>
  <c r="L64" i="5" l="1"/>
  <c r="L66" i="5" s="1"/>
  <c r="M63" i="5" l="1"/>
  <c r="M64" i="5" s="1"/>
  <c r="M66" i="5" s="1"/>
  <c r="R62" i="5"/>
  <c r="R63" i="5" l="1"/>
  <c r="R64" i="5" s="1"/>
  <c r="R66" i="5" s="1"/>
</calcChain>
</file>

<file path=xl/sharedStrings.xml><?xml version="1.0" encoding="utf-8"?>
<sst xmlns="http://schemas.openxmlformats.org/spreadsheetml/2006/main" count="2048" uniqueCount="790">
  <si>
    <t>Primary Government Activities</t>
  </si>
  <si>
    <t>Governmental Activities</t>
  </si>
  <si>
    <t>Total Primary Government Activities</t>
  </si>
  <si>
    <t>Particulars</t>
  </si>
  <si>
    <t>Assets</t>
  </si>
  <si>
    <t>Cash and investments</t>
  </si>
  <si>
    <t>Receivables</t>
  </si>
  <si>
    <t>Taxes</t>
  </si>
  <si>
    <t>Interest</t>
  </si>
  <si>
    <t>Accounts, net</t>
  </si>
  <si>
    <t>Intergovernmental</t>
  </si>
  <si>
    <t>Total Receivables</t>
  </si>
  <si>
    <t>Prepaid items and inventories</t>
  </si>
  <si>
    <t>Restricted cash and investments</t>
  </si>
  <si>
    <t>Other assets</t>
  </si>
  <si>
    <t>Notes and loans receivable</t>
  </si>
  <si>
    <t>Capital assets, net:</t>
  </si>
  <si>
    <t>Land</t>
  </si>
  <si>
    <t>Building and improvements</t>
  </si>
  <si>
    <t>Machinery and equipment</t>
  </si>
  <si>
    <t>Construction in progress</t>
  </si>
  <si>
    <t>Total assets</t>
  </si>
  <si>
    <t>Total capital assets</t>
  </si>
  <si>
    <t>Deferred outflows of resources</t>
  </si>
  <si>
    <t>Deferred outflows - pension plan</t>
  </si>
  <si>
    <t>Total deferred outflows of resources</t>
  </si>
  <si>
    <t>Liabilities</t>
  </si>
  <si>
    <t>Accounts and accrued interest payable</t>
  </si>
  <si>
    <t>Accrued payroll and vacation</t>
  </si>
  <si>
    <t>Due to other governments</t>
  </si>
  <si>
    <t>Unearned revenue and deposits</t>
  </si>
  <si>
    <t>Due within one year</t>
  </si>
  <si>
    <t>Due in more than one year</t>
  </si>
  <si>
    <t>Net pension liability</t>
  </si>
  <si>
    <t>Total Non-current liabilities</t>
  </si>
  <si>
    <t>Non-current liabilities</t>
  </si>
  <si>
    <t>Total liabilities</t>
  </si>
  <si>
    <t>Deferred inflows of resources</t>
  </si>
  <si>
    <t>Business tax collected in advance</t>
  </si>
  <si>
    <t>Deferred inflows - pension plan</t>
  </si>
  <si>
    <t>Total deferred inflows of resources</t>
  </si>
  <si>
    <t>Net position</t>
  </si>
  <si>
    <t>Net investment in capital assets</t>
  </si>
  <si>
    <t>Restricted</t>
  </si>
  <si>
    <t>Capital funded by local sales tax</t>
  </si>
  <si>
    <t>Economic development</t>
  </si>
  <si>
    <t>Public Works</t>
  </si>
  <si>
    <t>Total Restricted</t>
  </si>
  <si>
    <t>Unrestricted</t>
  </si>
  <si>
    <t>Total net position</t>
  </si>
  <si>
    <t>General</t>
  </si>
  <si>
    <t>Local Option Sales Tax</t>
  </si>
  <si>
    <t>Total Governmental Funds</t>
  </si>
  <si>
    <t>Accrued interest</t>
  </si>
  <si>
    <t>Accounts, billed</t>
  </si>
  <si>
    <t>Accounts, unbilled</t>
  </si>
  <si>
    <t>Special assessments</t>
  </si>
  <si>
    <t>Due from other governments</t>
  </si>
  <si>
    <t>Grants</t>
  </si>
  <si>
    <t>Other</t>
  </si>
  <si>
    <t>Due from other funds</t>
  </si>
  <si>
    <t>Property held for resale</t>
  </si>
  <si>
    <t>Liabilities, Deferred Inflows and Fund Balances</t>
  </si>
  <si>
    <t>Accounts payable</t>
  </si>
  <si>
    <t>Accrued payroll</t>
  </si>
  <si>
    <t>Due to other funds</t>
  </si>
  <si>
    <t>Deposits</t>
  </si>
  <si>
    <t>Unearned revenue</t>
  </si>
  <si>
    <t>Deferred inflows</t>
  </si>
  <si>
    <t>Unavailable revenue</t>
  </si>
  <si>
    <t>Total deferred inflows</t>
  </si>
  <si>
    <t>Fund balances</t>
  </si>
  <si>
    <t>Nonspendable</t>
  </si>
  <si>
    <t>Assigned</t>
  </si>
  <si>
    <t>Unassigned</t>
  </si>
  <si>
    <t>Total fund balances</t>
  </si>
  <si>
    <t>Total liabilities, deferred inflows and fund balances</t>
  </si>
  <si>
    <t>Revenues</t>
  </si>
  <si>
    <t>Licenses and permits</t>
  </si>
  <si>
    <t>Fines</t>
  </si>
  <si>
    <t>Interfund charges</t>
  </si>
  <si>
    <t>Sale of property held for resale</t>
  </si>
  <si>
    <t>Contributions and donations</t>
  </si>
  <si>
    <t>Investment earnings</t>
  </si>
  <si>
    <t>Total revenues</t>
  </si>
  <si>
    <t>Expenditures</t>
  </si>
  <si>
    <t>Current expenditures</t>
  </si>
  <si>
    <t>General government</t>
  </si>
  <si>
    <t>Public safety</t>
  </si>
  <si>
    <t>Public works</t>
  </si>
  <si>
    <t>Culture and recreation</t>
  </si>
  <si>
    <t>Total Current expenditures</t>
  </si>
  <si>
    <t>Capital outlay</t>
  </si>
  <si>
    <t>Debt service</t>
  </si>
  <si>
    <t>Principal</t>
  </si>
  <si>
    <t>Total debt service</t>
  </si>
  <si>
    <t>Total expenditures</t>
  </si>
  <si>
    <t>Excess (deficiency) of revenues over (under) expenditures</t>
  </si>
  <si>
    <t>Other Financing Sources/(Uses)</t>
  </si>
  <si>
    <t>Transfers in</t>
  </si>
  <si>
    <t>Transfers out</t>
  </si>
  <si>
    <t>Net other financing sources (uses)</t>
  </si>
  <si>
    <t>Net change in fund balances</t>
  </si>
  <si>
    <t>Fund balance - beginning</t>
  </si>
  <si>
    <t>Fund balance - ending</t>
  </si>
  <si>
    <t>Business-type Activities-Enterprise Funds</t>
  </si>
  <si>
    <t>Total Business-type Activities-Enterprise Funds</t>
  </si>
  <si>
    <t>Internal Service Funds</t>
  </si>
  <si>
    <t>Current assets</t>
  </si>
  <si>
    <t>Accrued interest receivable</t>
  </si>
  <si>
    <t>Accounts receivable, billed, net</t>
  </si>
  <si>
    <t>Accounts receivable, unbilled, net</t>
  </si>
  <si>
    <t>Other receivables</t>
  </si>
  <si>
    <t>Inventories, at cost</t>
  </si>
  <si>
    <t>Total current assets</t>
  </si>
  <si>
    <t>Non-current assets</t>
  </si>
  <si>
    <t>Restricted-Cash and investments</t>
  </si>
  <si>
    <t>Restricted-Accrued interest receivable</t>
  </si>
  <si>
    <t>Total non-current assets</t>
  </si>
  <si>
    <t>Capital assets</t>
  </si>
  <si>
    <t>Buildings and improvements</t>
  </si>
  <si>
    <t>Improvements other than buildings</t>
  </si>
  <si>
    <t>Total capital assets, net</t>
  </si>
  <si>
    <t>Less:  accumulated depreciation</t>
  </si>
  <si>
    <t>Deferred outflows</t>
  </si>
  <si>
    <t>Current liabilities</t>
  </si>
  <si>
    <t>Accrued interest payable</t>
  </si>
  <si>
    <t>Long-term debt, current portion</t>
  </si>
  <si>
    <t>Total current liabilities</t>
  </si>
  <si>
    <t>Estimated claims payable</t>
  </si>
  <si>
    <t>Compensated absences</t>
  </si>
  <si>
    <t>Long-term debt</t>
  </si>
  <si>
    <t>Net Position</t>
  </si>
  <si>
    <t>Restricted for sewer impact fees</t>
  </si>
  <si>
    <t>Adjustments to reflect the consolidation of
 internal service funds activities related to
 enterprise funds.</t>
  </si>
  <si>
    <t>Net position business-type activities</t>
  </si>
  <si>
    <t>Operating revenues</t>
  </si>
  <si>
    <t>Charges for effluent water</t>
  </si>
  <si>
    <t>Sales of sludge and recycled materials</t>
  </si>
  <si>
    <t>Pro shop sales</t>
  </si>
  <si>
    <t>Total operating revenues</t>
  </si>
  <si>
    <t>Operating expenses</t>
  </si>
  <si>
    <t>Personnel services</t>
  </si>
  <si>
    <t>Cost of goods sold</t>
  </si>
  <si>
    <t>Contractual services</t>
  </si>
  <si>
    <t>Supplies</t>
  </si>
  <si>
    <t>Repairs and maintenance</t>
  </si>
  <si>
    <t>Utilities</t>
  </si>
  <si>
    <t>Professional services</t>
  </si>
  <si>
    <t>Fuel</t>
  </si>
  <si>
    <t>Charges by the Fleet Services Fund</t>
  </si>
  <si>
    <t>Charges by the General Fund</t>
  </si>
  <si>
    <t>Charges by the Risk Management Fund</t>
  </si>
  <si>
    <t xml:space="preserve">Depreciation and amortization </t>
  </si>
  <si>
    <t>Insurance</t>
  </si>
  <si>
    <t>Total operating expenses</t>
  </si>
  <si>
    <t>Operating income or (loss)</t>
  </si>
  <si>
    <t>Non-operating revenues (expenses)</t>
  </si>
  <si>
    <t>Gain or loss on disposal of capital assets</t>
  </si>
  <si>
    <t>Debt service costs</t>
  </si>
  <si>
    <t>Net non-operating revenues (expenses)</t>
  </si>
  <si>
    <t>Income or (loss) before transfers and contributions</t>
  </si>
  <si>
    <t>Transfers and contributions</t>
  </si>
  <si>
    <t>Capital contributions - impact fees</t>
  </si>
  <si>
    <t>Total transfers and contributions</t>
  </si>
  <si>
    <t>Change in net position</t>
  </si>
  <si>
    <t>Total net position - beginning</t>
  </si>
  <si>
    <t>Total net position - ending</t>
  </si>
  <si>
    <t>Change in Net Position of Proprietary Funds</t>
  </si>
  <si>
    <t>Adjustment to reflect the consolidation of internal service funds activities related to enterprise funds</t>
  </si>
  <si>
    <t>Change in net position of business type activities</t>
  </si>
  <si>
    <t>Operating activities</t>
  </si>
  <si>
    <t>Cash received from customers</t>
  </si>
  <si>
    <t>Cash received from internal departments</t>
  </si>
  <si>
    <t>Cash received from grant agencies</t>
  </si>
  <si>
    <t>Cash paid to employees</t>
  </si>
  <si>
    <t>Cash paid to vendors</t>
  </si>
  <si>
    <t>Cash paid for internal services</t>
  </si>
  <si>
    <t>Net cash provided by (used in) operating activities</t>
  </si>
  <si>
    <t>Non-capital financing activities</t>
  </si>
  <si>
    <t>Cash tranferred to other funds</t>
  </si>
  <si>
    <t>Net Cash provided by (used in) non capital financing activities</t>
  </si>
  <si>
    <t>Capital and related financing activities</t>
  </si>
  <si>
    <t>Contributed capital and grants</t>
  </si>
  <si>
    <t>Loan proceeds</t>
  </si>
  <si>
    <t>Sale of capital assets</t>
  </si>
  <si>
    <t>Acquisition of capital assets</t>
  </si>
  <si>
    <t>Principal repayment on long-term debt</t>
  </si>
  <si>
    <t>Interest payments on long-term debt</t>
  </si>
  <si>
    <t>Net cash provided by (used in) capital and related financing activities</t>
  </si>
  <si>
    <t>Investing activities</t>
  </si>
  <si>
    <t>Net cash provided by investing activities</t>
  </si>
  <si>
    <t>Cash and cash equivalents/investments - Beginning of year</t>
  </si>
  <si>
    <t>Cash and cash equivalents/investments - Ending of year</t>
  </si>
  <si>
    <t>Reconciliation of operating income (loss) to net cash provided by/(used in) operating activities</t>
  </si>
  <si>
    <t>Operating income (loss)</t>
  </si>
  <si>
    <t>Adjustments to reconcile operating income (loss) to net cash provided by (used in) operating activities:</t>
  </si>
  <si>
    <t>Other revenue/(expenses)</t>
  </si>
  <si>
    <t>Depreciation and amortization</t>
  </si>
  <si>
    <t>Accounts receivable</t>
  </si>
  <si>
    <t>Inventories</t>
  </si>
  <si>
    <t>Prepaid expenses and other assets</t>
  </si>
  <si>
    <t>Net (increase) decrease in assets and increase</t>
  </si>
  <si>
    <t>Total adjustments to reconcile operating income (loss) to net cash provided by (used in) operating activities</t>
  </si>
  <si>
    <t>Program Revenues</t>
  </si>
  <si>
    <t>Net (Expense) Revenue Changes in Net Position</t>
  </si>
  <si>
    <t>Expenses</t>
  </si>
  <si>
    <t>Charges for Services</t>
  </si>
  <si>
    <t>Operating Grants and Contributions</t>
  </si>
  <si>
    <t>Capital Grants and Contributions</t>
  </si>
  <si>
    <t xml:space="preserve">Functions/Programs </t>
  </si>
  <si>
    <t>Total  Primary Government</t>
  </si>
  <si>
    <t>Interest and fees</t>
  </si>
  <si>
    <t>Total governmental activities</t>
  </si>
  <si>
    <t>Solid Waste</t>
  </si>
  <si>
    <t>Golf Course</t>
  </si>
  <si>
    <t>Total primary government</t>
  </si>
  <si>
    <t>General revenues</t>
  </si>
  <si>
    <t>Property tax</t>
  </si>
  <si>
    <t>Utility tax</t>
  </si>
  <si>
    <t>Sales tax</t>
  </si>
  <si>
    <t>Communication services tax</t>
  </si>
  <si>
    <t>Franchise taxes</t>
  </si>
  <si>
    <t>State shared revenue</t>
  </si>
  <si>
    <t>Miscellaneous</t>
  </si>
  <si>
    <t>Transfers</t>
  </si>
  <si>
    <t>Total general revenues</t>
  </si>
  <si>
    <t>Net position - beginning</t>
  </si>
  <si>
    <t>Net position - ending</t>
  </si>
  <si>
    <t>Waste water</t>
  </si>
  <si>
    <t>Golf course</t>
  </si>
  <si>
    <t>Solid waste</t>
  </si>
  <si>
    <t>Internal service funds</t>
  </si>
  <si>
    <t>Net increase (decrease)  in cash and cash equivalents/investments</t>
  </si>
  <si>
    <t>Total Governmental Activities</t>
  </si>
  <si>
    <t>Governmental activites:</t>
  </si>
  <si>
    <t xml:space="preserve">Statement of Net Position </t>
  </si>
  <si>
    <t>Statement of Activities</t>
  </si>
  <si>
    <t>Balance Sheet, Governmental Funds</t>
  </si>
  <si>
    <t>Statement of Revenues, Expenditures, and Changes in Fund Balances Governmental Funds</t>
  </si>
  <si>
    <t>Statement of Net Position Proprietary Funds</t>
  </si>
  <si>
    <t>Statement of Revenues, Expenses, and Changes in Fund Net Position  Proprietary Funds</t>
  </si>
  <si>
    <t>Statement of Cash Flows, Proprietary Funds</t>
  </si>
  <si>
    <t>General information about company</t>
  </si>
  <si>
    <t>Date of start of financial year</t>
  </si>
  <si>
    <t>01</t>
  </si>
  <si>
    <t>04</t>
  </si>
  <si>
    <t>Date of end of financial year</t>
  </si>
  <si>
    <t>03</t>
  </si>
  <si>
    <t>02</t>
  </si>
  <si>
    <t>05</t>
  </si>
  <si>
    <t>06</t>
  </si>
  <si>
    <t>07</t>
  </si>
  <si>
    <t>08</t>
  </si>
  <si>
    <t>09</t>
  </si>
  <si>
    <t>label</t>
  </si>
  <si>
    <t>type</t>
  </si>
  <si>
    <t>periodType</t>
  </si>
  <si>
    <t>duration</t>
  </si>
  <si>
    <t>DateOfStartOfFinancialYear</t>
  </si>
  <si>
    <t>DateOfEndOfFinancialYear</t>
  </si>
  <si>
    <t>xbrli:stringItemType</t>
  </si>
  <si>
    <t>xbrli:dateItemType</t>
  </si>
  <si>
    <t>This is mandatory fiels. Please enter start date of financial year in "dd-MM-yyyy" format.</t>
  </si>
  <si>
    <t>This is mandatory fiels. Please enter end date of financial year in "dd-MM-yyyy" format.</t>
  </si>
  <si>
    <t>element</t>
  </si>
  <si>
    <t>validation</t>
  </si>
  <si>
    <t>CashAndInvestments</t>
  </si>
  <si>
    <t>AccountsNet</t>
  </si>
  <si>
    <t>PrepaidItemsAndInventories</t>
  </si>
  <si>
    <t>RestrictedCashAndInvestments</t>
  </si>
  <si>
    <t>OtherAssets</t>
  </si>
  <si>
    <t>NotesAndLoansReceivable</t>
  </si>
  <si>
    <t>BuildingAndImprovements</t>
  </si>
  <si>
    <t>MachineryAndEquipment</t>
  </si>
  <si>
    <t>ConstructionInProgress</t>
  </si>
  <si>
    <t>CapitalAssets</t>
  </si>
  <si>
    <t>PensionContributionsPaidInAdvance</t>
  </si>
  <si>
    <t>DeferredOutflowsPensionPlan</t>
  </si>
  <si>
    <t>DeferredOutflowsOfResources</t>
  </si>
  <si>
    <t>AccountsAndAccruedInterestPayable</t>
  </si>
  <si>
    <t>AccruedPayrollAndVacation</t>
  </si>
  <si>
    <t>DueToOtherGovernments</t>
  </si>
  <si>
    <t>UnearnedRevenueAndDeposits</t>
  </si>
  <si>
    <t>DueWithinOneYear</t>
  </si>
  <si>
    <t>DueInMoreThanOneYear</t>
  </si>
  <si>
    <t>NetPensionLiability</t>
  </si>
  <si>
    <t>NoncurrentLiabilities</t>
  </si>
  <si>
    <t>BusinessTaxCollectedInAdvance</t>
  </si>
  <si>
    <t>DeferredInflowsPensionPlan</t>
  </si>
  <si>
    <t>DeferredInflowsOfResources</t>
  </si>
  <si>
    <t>WasteWater</t>
  </si>
  <si>
    <t>CapitalFundedByLocalSalesTax</t>
  </si>
  <si>
    <t>EconomicDevelopment</t>
  </si>
  <si>
    <t>PublicWorks</t>
  </si>
  <si>
    <t>RecreationParksArtsPublicSafety</t>
  </si>
  <si>
    <t>NetPosition</t>
  </si>
  <si>
    <t>NetInvestmentInCapitalAssets</t>
  </si>
  <si>
    <t>RevenuesTaxes</t>
  </si>
  <si>
    <t>LicensesAndPermits</t>
  </si>
  <si>
    <t>RevenuesIntergovernmental</t>
  </si>
  <si>
    <t>ChargesForServices</t>
  </si>
  <si>
    <t>InterfundCharges</t>
  </si>
  <si>
    <t>SaleOfPropertyHeldForResale</t>
  </si>
  <si>
    <t>ContributionsAndDonations</t>
  </si>
  <si>
    <t>InvestmentEarnings</t>
  </si>
  <si>
    <t>RevenuesOther</t>
  </si>
  <si>
    <t>GeneralGovernment</t>
  </si>
  <si>
    <t>PublicSafety</t>
  </si>
  <si>
    <t>CurrentExpendituresPublicWorks</t>
  </si>
  <si>
    <t>CurrentExpendituresEconomicDevelopment</t>
  </si>
  <si>
    <t>CultureAndRecreation</t>
  </si>
  <si>
    <t>CurrentExpenditures</t>
  </si>
  <si>
    <t>CapitalOutlay</t>
  </si>
  <si>
    <t>DebtServiceInterest</t>
  </si>
  <si>
    <t>DebtService</t>
  </si>
  <si>
    <t>ExcessDeficiencyOfRevenuesOverUnderExpenditures</t>
  </si>
  <si>
    <t>TransfersIn</t>
  </si>
  <si>
    <t>TransfersOut</t>
  </si>
  <si>
    <t>OtherFinancingSourcesUses</t>
  </si>
  <si>
    <t>ChangeInFundBalances</t>
  </si>
  <si>
    <t>FundBalance</t>
  </si>
  <si>
    <t>xbrli:monetaryItemType</t>
  </si>
  <si>
    <t>CashAndInvestment</t>
  </si>
  <si>
    <t>Tax</t>
  </si>
  <si>
    <t>AccruedInterest</t>
  </si>
  <si>
    <t>AccountsBilled</t>
  </si>
  <si>
    <t>AccountsUnbilled</t>
  </si>
  <si>
    <t>SpecialAssessments</t>
  </si>
  <si>
    <t>DueFromOtherGovernments</t>
  </si>
  <si>
    <t>Receivable</t>
  </si>
  <si>
    <t>DueFromOtherFunds</t>
  </si>
  <si>
    <t>PropertyHeldForResale</t>
  </si>
  <si>
    <t>OtherAsset</t>
  </si>
  <si>
    <t>NotesAndLoansReceivables</t>
  </si>
  <si>
    <t>TotalAssets</t>
  </si>
  <si>
    <t>AccountPayable</t>
  </si>
  <si>
    <t>AccruedPayroll</t>
  </si>
  <si>
    <t>DueToOtherGovernment</t>
  </si>
  <si>
    <t>DueToOtherFunds</t>
  </si>
  <si>
    <t>Deposit</t>
  </si>
  <si>
    <t>UnearnedRevenues</t>
  </si>
  <si>
    <t>TotalLiabilities</t>
  </si>
  <si>
    <t>BusinessTaxCollectedInAdvances</t>
  </si>
  <si>
    <t>UnavailableRevenue</t>
  </si>
  <si>
    <t>DeferredInflow</t>
  </si>
  <si>
    <t>FundBalances</t>
  </si>
  <si>
    <t>LiabilitiesDeferredInflowsAndFundBalances</t>
  </si>
  <si>
    <t>instant</t>
  </si>
  <si>
    <t>AccruedInterestReceivable</t>
  </si>
  <si>
    <t>AccountsReceivableBilledNet</t>
  </si>
  <si>
    <t>AccountsReceivableUnbilledNet</t>
  </si>
  <si>
    <t>OtherReceivables</t>
  </si>
  <si>
    <t>InventoriesAtCost</t>
  </si>
  <si>
    <t>CurrentAssets</t>
  </si>
  <si>
    <t>RestrictedAccruedInterestReceivable</t>
  </si>
  <si>
    <t>LandAndImprovements</t>
  </si>
  <si>
    <t>BuildingsAndImprovements</t>
  </si>
  <si>
    <t>ImprovementsOtherThanBuildings</t>
  </si>
  <si>
    <t>LessAccumulatedDepreciation</t>
  </si>
  <si>
    <t>NoncurrentAssets</t>
  </si>
  <si>
    <t>DeferredOutflows</t>
  </si>
  <si>
    <t>AccountsPayable</t>
  </si>
  <si>
    <t>AccruedInterestPayable</t>
  </si>
  <si>
    <t>LongTermDebtCurrentPortion</t>
  </si>
  <si>
    <t>CurrentLiabilities</t>
  </si>
  <si>
    <t>UnearnedRevenue</t>
  </si>
  <si>
    <t>EstimatedClaimsPayable</t>
  </si>
  <si>
    <t>CompensatedAbsences</t>
  </si>
  <si>
    <t>OPEBLiability</t>
  </si>
  <si>
    <t>LongTermDebt</t>
  </si>
  <si>
    <t>DeferredInflows</t>
  </si>
  <si>
    <t>RestrictedForSewerImpactFees</t>
  </si>
  <si>
    <t>AdjustmentsToReflectTheConsolidationOfInternalServiceFundsActivitiesRelatedToEnterpriseFunds</t>
  </si>
  <si>
    <t>NetPositionBusinessTypeActivitiesEnterpriseFunds</t>
  </si>
  <si>
    <t>CashReceivedFromCustomers</t>
  </si>
  <si>
    <t>CashReceivedFromInternalDepartments</t>
  </si>
  <si>
    <t>CashReceivedFromGrantAgencies</t>
  </si>
  <si>
    <t>CashPaidToEmployees</t>
  </si>
  <si>
    <t>CashPaidToVendors</t>
  </si>
  <si>
    <t>CashPaidForInternalServices</t>
  </si>
  <si>
    <t>CashProvidedByUsedInOperatingActivities</t>
  </si>
  <si>
    <t>CashTranferredToOtherFunds</t>
  </si>
  <si>
    <t>CashProvidedByUsedInNonCapitalFinancingActivities</t>
  </si>
  <si>
    <t>ContributedCapitalAndGrants</t>
  </si>
  <si>
    <t>LoanProceeds</t>
  </si>
  <si>
    <t>SaleOfCapitalAssets</t>
  </si>
  <si>
    <t>AcquisitionOfCapitalAssets</t>
  </si>
  <si>
    <t>CapitalAndRelatedFinancingActivitiesDebtServiceCosts</t>
  </si>
  <si>
    <t>PrincipalRepaymentOnLongTermDebt</t>
  </si>
  <si>
    <t>InterestPaymentsOnLongTermDebt</t>
  </si>
  <si>
    <t>CashFlowsFromUsedInFinancingActivities</t>
  </si>
  <si>
    <t>CashFlowsFromUsedInInvestingActivitiesInvestmentEarnings</t>
  </si>
  <si>
    <t>CashProvidedByInvestingActivities</t>
  </si>
  <si>
    <t>IncreaseDecreaseInCashAndCashEquivalentsInvestments</t>
  </si>
  <si>
    <t>CashAndCashEquivalentsCashFlowStatement</t>
  </si>
  <si>
    <t>OperatingIncomeLoss</t>
  </si>
  <si>
    <t>OtherRevenueExpenses</t>
  </si>
  <si>
    <t>AccountsReceivable</t>
  </si>
  <si>
    <t>PrepaidExpensesAndOtherAssets</t>
  </si>
  <si>
    <t>IncreaseDecreaseInAssetsAndLiabilitiesAccountsPayable</t>
  </si>
  <si>
    <t>IncreaseDecreaseInAssetsAndLiabilitiesAccruedPayrollAndVacation</t>
  </si>
  <si>
    <t>IncreaseDecreaseInAssetsAndLiabilitiesDeposits</t>
  </si>
  <si>
    <t>IncreaseDecreaseInAssetsAndLiabilitiesUnearnedRevenue</t>
  </si>
  <si>
    <t>IncreaseDecreaseInAssetsAndLiabilitiesEstimatedClaimsPayable</t>
  </si>
  <si>
    <t>IncreaseDecreaseInAssetsAndLiabilities</t>
  </si>
  <si>
    <t>AdjustmentsToReconcileOperatingIncomeLossToNetCashProvidedByUsedInOperatingActivities</t>
  </si>
  <si>
    <t>St of Cash Flow - Prop Funds</t>
  </si>
  <si>
    <t>Prop Fund St of Net Position</t>
  </si>
  <si>
    <t>Gov Fund St of Rev Exp &amp; Bal</t>
  </si>
  <si>
    <t>Governmental Fund Balance Sheet</t>
  </si>
  <si>
    <t>General Information</t>
  </si>
  <si>
    <t>Prop Fund St Rev Exp &amp; Bal</t>
  </si>
  <si>
    <t>OperatingRevenuesChargesForServices</t>
  </si>
  <si>
    <t>ChargesForEffluentWater</t>
  </si>
  <si>
    <t>SalesOfSludgeAndRecycledMaterials</t>
  </si>
  <si>
    <t>ProShopSales</t>
  </si>
  <si>
    <t>OperatingRevenuesOther</t>
  </si>
  <si>
    <t>OperatingRevenues</t>
  </si>
  <si>
    <t>PersonnelServices</t>
  </si>
  <si>
    <t>CostOfGoodsSold</t>
  </si>
  <si>
    <t>ContractualServices</t>
  </si>
  <si>
    <t>RepairsAndMaintenance</t>
  </si>
  <si>
    <t>ProfessionalServices</t>
  </si>
  <si>
    <t>ChargesByTheFleetServicesFund</t>
  </si>
  <si>
    <t>ChargesByTheGeneralFund</t>
  </si>
  <si>
    <t>ChargesByTheRiskManagementFund</t>
  </si>
  <si>
    <t>DepreciationAndAmortization</t>
  </si>
  <si>
    <t>OperatingExpensesOther</t>
  </si>
  <si>
    <t>OperatingExpenses</t>
  </si>
  <si>
    <t>OperatingIncomeOrLoss</t>
  </si>
  <si>
    <t>NonoperatingInvestmentEarnings</t>
  </si>
  <si>
    <t>GainOrLossOnDisposalOfCapitalAssets</t>
  </si>
  <si>
    <t>DebtServiceCosts</t>
  </si>
  <si>
    <t>NonoperatingRevenuesExpensesOther</t>
  </si>
  <si>
    <t>NonOperatingRevenuesExpenses</t>
  </si>
  <si>
    <t>IncomeOrLossBeforeTransfersAndContributions</t>
  </si>
  <si>
    <t>TransferOut</t>
  </si>
  <si>
    <t>CapitalContributionsImpactFees</t>
  </si>
  <si>
    <t>TransfersAndContributions</t>
  </si>
  <si>
    <t>ChangesInNetPosition</t>
  </si>
  <si>
    <t>TotalNetPosition</t>
  </si>
  <si>
    <t>ChangeInNetPositionOfProprietaryFunds</t>
  </si>
  <si>
    <t>AdjustmentToReflectTheConsolidationOfInternalServiceFundsActivitiesRelatedToEnterpriseFunds</t>
  </si>
  <si>
    <t>ChangeInNetPositionOfBusinessTypeActivitiesEnterpriseFunds</t>
  </si>
  <si>
    <t>OperatingGrantsAndContributions</t>
  </si>
  <si>
    <t>CapitalGrantsAndContributions</t>
  </si>
  <si>
    <t>ExpenseRevenueChangesInNetPosition</t>
  </si>
  <si>
    <t>PropertyTax</t>
  </si>
  <si>
    <t>UtilityTax</t>
  </si>
  <si>
    <t>SalesTax</t>
  </si>
  <si>
    <t>CommunicationServicesTax</t>
  </si>
  <si>
    <t>FranchiseTaxes</t>
  </si>
  <si>
    <t>StateSharedRevenue</t>
  </si>
  <si>
    <t>GeneralRevenues</t>
  </si>
  <si>
    <t>ChangeInNetPosition</t>
  </si>
  <si>
    <t>Statement of Net Position</t>
  </si>
  <si>
    <t>NameOfTheGovernment</t>
  </si>
  <si>
    <t>Name of government</t>
  </si>
  <si>
    <t>StatementofNetPositionCashAndInvestments</t>
  </si>
  <si>
    <t>StatementofNetPositionRestrictedCashAndInvestments</t>
  </si>
  <si>
    <t>StatementofNetPositionMachineryAndEquipment</t>
  </si>
  <si>
    <t>StatementofNetPositionConstructionInProgress</t>
  </si>
  <si>
    <t>StatementofNetPositionCapitalAssets</t>
  </si>
  <si>
    <t>StatementofNetPositionAssets</t>
  </si>
  <si>
    <t>StatementofNetPositionAccruedPayrollAndVacation</t>
  </si>
  <si>
    <t>StatementofNetPositionNoncurrentLiabilities</t>
  </si>
  <si>
    <t>StatementofNetPositionLiabilities</t>
  </si>
  <si>
    <t>StatementofNetPositionNetInvestmentInCapitalAssets</t>
  </si>
  <si>
    <t>TotalRestricted</t>
  </si>
  <si>
    <t>StatementofNetPositionUnrestricted</t>
  </si>
  <si>
    <t>StatementofNetPositionOtherAssets</t>
  </si>
  <si>
    <t>Cash  and investments</t>
  </si>
  <si>
    <t xml:space="preserve">  Taxes</t>
  </si>
  <si>
    <t xml:space="preserve"> Taxes</t>
  </si>
  <si>
    <t>Pension contributions paid in advance</t>
  </si>
  <si>
    <t>Recreation, parks, arts, public safety</t>
  </si>
  <si>
    <t>Land and improvements</t>
  </si>
  <si>
    <t>OPEB liability</t>
  </si>
  <si>
    <t xml:space="preserve">Interest </t>
  </si>
  <si>
    <t>Total  receivables</t>
  </si>
  <si>
    <t>Notes  and  loans  receivable</t>
  </si>
  <si>
    <t>Other  assets</t>
  </si>
  <si>
    <t>Other   assets</t>
  </si>
  <si>
    <t>Total  assets</t>
  </si>
  <si>
    <t>Total   assets</t>
  </si>
  <si>
    <t>Due  to  other  governments</t>
  </si>
  <si>
    <t>Total  liabilities</t>
  </si>
  <si>
    <t>Total   liabilities</t>
  </si>
  <si>
    <t>Business  tax  collected  in  advance</t>
  </si>
  <si>
    <t xml:space="preserve">Intergovernmental </t>
  </si>
  <si>
    <t>Public  works</t>
  </si>
  <si>
    <t>Economic  development</t>
  </si>
  <si>
    <t>Cash  and  investments</t>
  </si>
  <si>
    <t>Machinery  and  equipment</t>
  </si>
  <si>
    <t>Construction  in  progress</t>
  </si>
  <si>
    <t>Accounts  payable</t>
  </si>
  <si>
    <t>Accounts   payable</t>
  </si>
  <si>
    <t>Accrued  payroll and vacation</t>
  </si>
  <si>
    <t>Accrued payroll and  vacation</t>
  </si>
  <si>
    <t xml:space="preserve">Deposits </t>
  </si>
  <si>
    <t xml:space="preserve">Deposits  </t>
  </si>
  <si>
    <t>Unearned  revenue</t>
  </si>
  <si>
    <t>Unearned   revenue</t>
  </si>
  <si>
    <t>Total  non-current  liabilities</t>
  </si>
  <si>
    <t>Net  investment  in  capital  assets</t>
  </si>
  <si>
    <t xml:space="preserve">Unrestricted </t>
  </si>
  <si>
    <t>Total  net  position</t>
  </si>
  <si>
    <t>Charges  for  services</t>
  </si>
  <si>
    <t xml:space="preserve">Other </t>
  </si>
  <si>
    <t xml:space="preserve">Other  </t>
  </si>
  <si>
    <t xml:space="preserve">Other   </t>
  </si>
  <si>
    <t xml:space="preserve">Other    </t>
  </si>
  <si>
    <t>Investment  earnings</t>
  </si>
  <si>
    <t>Investment   earnings</t>
  </si>
  <si>
    <t>Change  in  net  position</t>
  </si>
  <si>
    <t>Estimated  claims  payable</t>
  </si>
  <si>
    <t>This is mandatory fiels. Please enter government name.</t>
  </si>
  <si>
    <t>Debt  service  costs</t>
  </si>
  <si>
    <t>Capital and related financing activities debt service costs</t>
  </si>
  <si>
    <t>CapitalAndRelatedFinancingActivities</t>
  </si>
  <si>
    <t>Total Business Type Activities Enterprise Funds</t>
  </si>
  <si>
    <t>TotalBusinessTypeActivitiesEnterpriseFunds</t>
  </si>
  <si>
    <t>NatureOfGovernmentalFunds</t>
  </si>
  <si>
    <t>Nature Of Governmental Funds</t>
  </si>
  <si>
    <t>Internal balances</t>
  </si>
  <si>
    <t>Prepaid bond insurance costs</t>
  </si>
  <si>
    <t>Intangibles</t>
  </si>
  <si>
    <t>Infrastructure</t>
  </si>
  <si>
    <t>Deferred charge on bond refunding</t>
  </si>
  <si>
    <t>Capital improvements</t>
  </si>
  <si>
    <t>Environmental services</t>
  </si>
  <si>
    <t>Economic environment</t>
  </si>
  <si>
    <t>Water utility</t>
  </si>
  <si>
    <t>Electric utility</t>
  </si>
  <si>
    <t>Parking facilities</t>
  </si>
  <si>
    <t>Business tax</t>
  </si>
  <si>
    <t>Local option resort tax</t>
  </si>
  <si>
    <t>Motor fuel tax</t>
  </si>
  <si>
    <t>Gain on disposal of capital assets</t>
  </si>
  <si>
    <t>Inventory</t>
  </si>
  <si>
    <t>Prepaid cost and deposits</t>
  </si>
  <si>
    <t>Retainage on contracts</t>
  </si>
  <si>
    <t>Current portion of long term debt</t>
  </si>
  <si>
    <t>Property</t>
  </si>
  <si>
    <t>Sales</t>
  </si>
  <si>
    <t>Local option resort</t>
  </si>
  <si>
    <t>Motor fuel</t>
  </si>
  <si>
    <t>Utility</t>
  </si>
  <si>
    <t>Communication services</t>
  </si>
  <si>
    <t>Total taxes</t>
  </si>
  <si>
    <t>Federal</t>
  </si>
  <si>
    <t>State</t>
  </si>
  <si>
    <t>Local</t>
  </si>
  <si>
    <t>Total intergovernmental</t>
  </si>
  <si>
    <t>Transportation impact fees</t>
  </si>
  <si>
    <t>Issuance of debt costs</t>
  </si>
  <si>
    <t>Issuance Of debt</t>
  </si>
  <si>
    <t>Bond issue premium, Net</t>
  </si>
  <si>
    <t>Payment to refunded bond escrow agent</t>
  </si>
  <si>
    <t>Capital leases</t>
  </si>
  <si>
    <t>Prepaid expenses and deposits</t>
  </si>
  <si>
    <t>Note receivable</t>
  </si>
  <si>
    <t>Accrued liabilities</t>
  </si>
  <si>
    <t>Customer deposits</t>
  </si>
  <si>
    <t>Customer advances</t>
  </si>
  <si>
    <t>Payable from restricted assets</t>
  </si>
  <si>
    <t>Total payable from restricted assets</t>
  </si>
  <si>
    <t>Landfill postclosure</t>
  </si>
  <si>
    <t>Debt services</t>
  </si>
  <si>
    <t>Capital improvement</t>
  </si>
  <si>
    <t>Restricted grants</t>
  </si>
  <si>
    <t>Other services and Charges</t>
  </si>
  <si>
    <t>State government</t>
  </si>
  <si>
    <t>Local government</t>
  </si>
  <si>
    <t>Interest expense</t>
  </si>
  <si>
    <t>Miscellaneous income</t>
  </si>
  <si>
    <t>Transfer in</t>
  </si>
  <si>
    <t>Transfer out</t>
  </si>
  <si>
    <t>Pilot and piloff</t>
  </si>
  <si>
    <t>Other transfers out</t>
  </si>
  <si>
    <t>Total transfer out</t>
  </si>
  <si>
    <t>Other receipts</t>
  </si>
  <si>
    <t>Other expenses</t>
  </si>
  <si>
    <t>Interfund transfers received from other funds</t>
  </si>
  <si>
    <t>Cash received from state government</t>
  </si>
  <si>
    <t>Cash paid to other governments</t>
  </si>
  <si>
    <t>Contributions from subdividers and other governments</t>
  </si>
  <si>
    <t>Bond proceeds and other sources</t>
  </si>
  <si>
    <t>Transfer to escrow agent and other costs</t>
  </si>
  <si>
    <t>(Increase) decrease in assets and liabilities</t>
  </si>
  <si>
    <t>Increase (decrease) in due from other funds</t>
  </si>
  <si>
    <t>Increase (decrease) in note receivable and advances to other funds</t>
  </si>
  <si>
    <t>Increase (decrease) in retainage on contracts</t>
  </si>
  <si>
    <t>Increase (decrease) in accrued Liabilities</t>
  </si>
  <si>
    <t>Increase (decrease) in due to other funds</t>
  </si>
  <si>
    <t>Increase (decrease) in customer deposits and advances</t>
  </si>
  <si>
    <t>Increase (decrease) in landfill postclosure</t>
  </si>
  <si>
    <t>InternalBalances</t>
  </si>
  <si>
    <t>PrepaidBondInsuranceCosts</t>
  </si>
  <si>
    <t>DeferredChargeOnBondRefunding</t>
  </si>
  <si>
    <t>CapitalImprovements</t>
  </si>
  <si>
    <t>Grant</t>
  </si>
  <si>
    <t>LocalOptionResortTax</t>
  </si>
  <si>
    <t>MotorFuelTax</t>
  </si>
  <si>
    <t>GainOnDisposalOfCapitalAssets</t>
  </si>
  <si>
    <t>BusinessTax</t>
  </si>
  <si>
    <t>PrepaidCostAndDeposits</t>
  </si>
  <si>
    <t>RetainageOnContracts</t>
  </si>
  <si>
    <t>CurrentPortionOfLongTermDebt</t>
  </si>
  <si>
    <t>RevenuesTaxesBusinessTax</t>
  </si>
  <si>
    <t>LocalOptionResort</t>
  </si>
  <si>
    <t>MotorFuel</t>
  </si>
  <si>
    <t>CommunicationServices</t>
  </si>
  <si>
    <t>RevenuesSpecialAssessments</t>
  </si>
  <si>
    <t>TransportationImpactFees</t>
  </si>
  <si>
    <t>EnvironmentalServices</t>
  </si>
  <si>
    <t>IssuanceOfDebtCosts</t>
  </si>
  <si>
    <t>OtherFinancingSourcesUsesIssuanceOfDebt</t>
  </si>
  <si>
    <t>BondIssuePremiumNet</t>
  </si>
  <si>
    <t>PaymentToRefundedBondEscrowAgent</t>
  </si>
  <si>
    <t>CapitalLeases</t>
  </si>
  <si>
    <t>PrepaidExpensesAndDeposits</t>
  </si>
  <si>
    <t>NoteReceivable</t>
  </si>
  <si>
    <t>AccruedLiabilities</t>
  </si>
  <si>
    <t>CustomerDeposits</t>
  </si>
  <si>
    <t>CustomerAdvances</t>
  </si>
  <si>
    <t>PayableFromRestrictedAssets</t>
  </si>
  <si>
    <t>LandfillPostclosure</t>
  </si>
  <si>
    <t>DebtServices</t>
  </si>
  <si>
    <t>CapitalImprovement</t>
  </si>
  <si>
    <t>RestrictedGrants</t>
  </si>
  <si>
    <t>OtherServicesAndCharges</t>
  </si>
  <si>
    <t>StateGovernment</t>
  </si>
  <si>
    <t>LocalGovernment</t>
  </si>
  <si>
    <t>InterestExpense</t>
  </si>
  <si>
    <t>MiscellaneousIncome</t>
  </si>
  <si>
    <t>TransferIn</t>
  </si>
  <si>
    <t>PilotAndPiloff</t>
  </si>
  <si>
    <t>OtherTransfersOut</t>
  </si>
  <si>
    <t>OtherReceipts</t>
  </si>
  <si>
    <t>OtherExpenses</t>
  </si>
  <si>
    <t>InterfundTransfersReceivedFromOtherFunds</t>
  </si>
  <si>
    <t>CashReceivedFromStateGovernment</t>
  </si>
  <si>
    <t>CashPaidToOtherGovernments</t>
  </si>
  <si>
    <t>ContributionsFromSubdividersAndOtherGovernments</t>
  </si>
  <si>
    <t>BondProceedsAndOtherSources</t>
  </si>
  <si>
    <t>TransferToEscrowAgentAndOtherCosts</t>
  </si>
  <si>
    <t>IssuanceOfDebt</t>
  </si>
  <si>
    <t>IncreaseDecreaseInDueFromOtherFunds</t>
  </si>
  <si>
    <t>IncreaseDecreaseInNoteReceivableAndAdvancesToOtherFunds</t>
  </si>
  <si>
    <t>IncreaseInRetainageOnContracts</t>
  </si>
  <si>
    <t>IncreaseDecreaseInAccruedLiabilities</t>
  </si>
  <si>
    <t>IncreaseDecreaseInDueToOtherFunds</t>
  </si>
  <si>
    <t>IncreaseDecreaseInCustomerDepositsAndAdvances</t>
  </si>
  <si>
    <t>IncreaseDecreaseInLandfillPostclosure</t>
  </si>
  <si>
    <t xml:space="preserve">Largo, Florida </t>
  </si>
  <si>
    <t>December 31, 2016</t>
  </si>
  <si>
    <t>SHIP</t>
  </si>
  <si>
    <t>HOME</t>
  </si>
  <si>
    <t>CDBG</t>
  </si>
  <si>
    <t>Other Governmental</t>
  </si>
  <si>
    <t>Adjustments to reflect the consolidation of internal service funds activities related to enterprise funds.</t>
  </si>
  <si>
    <t xml:space="preserve">Grants </t>
  </si>
  <si>
    <t>Restricted  cash  and  investments</t>
  </si>
  <si>
    <t>Business  tax</t>
  </si>
  <si>
    <t>Total  restricted</t>
  </si>
  <si>
    <t>Issuance  of  debt</t>
  </si>
  <si>
    <t>RevenuesChargesForServices</t>
  </si>
  <si>
    <t>RevenuesInvestmentEarnings</t>
  </si>
  <si>
    <t>ExpendituresDebtService</t>
  </si>
  <si>
    <t>Receipt from interfund services provided</t>
  </si>
  <si>
    <t>ReceiptFromInterfundServicesProvided</t>
  </si>
  <si>
    <t>Charges  for   services</t>
  </si>
  <si>
    <t xml:space="preserve">Investment earnings </t>
  </si>
  <si>
    <t>RestrictedCashAndInvestment</t>
  </si>
  <si>
    <t>CAFRDate</t>
  </si>
  <si>
    <t>OPEB plan name</t>
  </si>
  <si>
    <t>OPEB plan active employees</t>
  </si>
  <si>
    <t>OPEB plan retired employees</t>
  </si>
  <si>
    <t>OPEB actuarially determined contribution</t>
  </si>
  <si>
    <t>OPEB annual cost</t>
  </si>
  <si>
    <t>OPEB actuarial valuation date</t>
  </si>
  <si>
    <t>OPEB plan assets</t>
  </si>
  <si>
    <t>OPEB plan actuarial liabilities</t>
  </si>
  <si>
    <t>OPEB net liability</t>
  </si>
  <si>
    <t>OPEB funded ratio</t>
  </si>
  <si>
    <t>OPEB discount rate</t>
  </si>
  <si>
    <t>OPEB assumed inflation rate</t>
  </si>
  <si>
    <t>OPEB assumed salary growth</t>
  </si>
  <si>
    <t>OPEB net liability at discount rate plus 1</t>
  </si>
  <si>
    <t>OPEB net liability at disc rate minus 1</t>
  </si>
  <si>
    <t>Details of other post employment benefits</t>
  </si>
  <si>
    <t>Details of employee retirement and pension plans</t>
  </si>
  <si>
    <t>Pension plan active employees</t>
  </si>
  <si>
    <t>Pension plan retirees and beneficiaries currently receiving normal and disability benefits</t>
  </si>
  <si>
    <t>Pension plan terminated employees entitled to benefits but not yet receiving benefits</t>
  </si>
  <si>
    <t>Pension plan drop participants receiving benefits into their drop accounts</t>
  </si>
  <si>
    <t>Pension plan disabled participants currently receiving benefits</t>
  </si>
  <si>
    <t>Pension plan total plan membership</t>
  </si>
  <si>
    <t>Pension actuarially determined contribution</t>
  </si>
  <si>
    <t>Pension annual cost</t>
  </si>
  <si>
    <t>Pension actuarial valuation date</t>
  </si>
  <si>
    <t>Pension plan contribution rates as a percentage of payoll</t>
  </si>
  <si>
    <t>Pension plan actuarial cost method funding</t>
  </si>
  <si>
    <t>Pension plan amortization method</t>
  </si>
  <si>
    <t>Pension plan mortality rates</t>
  </si>
  <si>
    <t>Pension plan remaining amortization period</t>
  </si>
  <si>
    <t>Pension plan asset valuation method</t>
  </si>
  <si>
    <t>Pension discount rate</t>
  </si>
  <si>
    <t>Pension assumed inflation rate</t>
  </si>
  <si>
    <t>Pension assumed salary growth</t>
  </si>
  <si>
    <t>Pension plan total pension liability</t>
  </si>
  <si>
    <t>Pension plan fiduciary net position</t>
  </si>
  <si>
    <t>Pension plan net pension liability</t>
  </si>
  <si>
    <t>Pension funded ratio</t>
  </si>
  <si>
    <t>Pension net liability at discount rate plus 1</t>
  </si>
  <si>
    <t>Pension net liability at discount rate minus 1</t>
  </si>
  <si>
    <t>Pension plan deferred ouflow of resources</t>
  </si>
  <si>
    <t>Pension plan deferred inflow of resources</t>
  </si>
  <si>
    <t>Sr.No.</t>
  </si>
  <si>
    <t>Pension plan name</t>
  </si>
  <si>
    <t>Special  assessments</t>
  </si>
  <si>
    <t>OPEB Tempate V1</t>
  </si>
  <si>
    <t>Pension Template V1</t>
  </si>
  <si>
    <t>OPEBPlanName</t>
  </si>
  <si>
    <t>OPEBPlanActiveEmployees</t>
  </si>
  <si>
    <t>OPEBPlanRetiredEmployees</t>
  </si>
  <si>
    <t>OPEBActuariallyDeterminedContribution</t>
  </si>
  <si>
    <t>OPEBAnnualCost</t>
  </si>
  <si>
    <t>OPEBActuarialValuationDate</t>
  </si>
  <si>
    <t>OPEBPlanAssets</t>
  </si>
  <si>
    <t>OPEBPlanActuarialLiabilities</t>
  </si>
  <si>
    <t>OPEBNetLiability</t>
  </si>
  <si>
    <t>OPEBFundedRatio</t>
  </si>
  <si>
    <t>OPEBDiscountRate</t>
  </si>
  <si>
    <t>OPEBAssumedInflationRate</t>
  </si>
  <si>
    <t>OPEBAssumedSalaryGrowth</t>
  </si>
  <si>
    <t>OPEBNetLiabilityAtDiscountRatePlus1</t>
  </si>
  <si>
    <t>OPEBNetLiabilityAtDiscountRateMinus1</t>
  </si>
  <si>
    <t>PensionPlanActiveEmployees</t>
  </si>
  <si>
    <t>PensionPlanRetireesAndBeneficiariesCurrentlyReceivingNormalAndDisabilityBenefits</t>
  </si>
  <si>
    <t>PensionPlanTerminatedEmployeesEntitledToBenefitsButNotYetReceivingBenefits</t>
  </si>
  <si>
    <t>PensionPlanDROPParticipantsReceivingBenefitsIntoTheirDROPAccounts</t>
  </si>
  <si>
    <t>PensionPlanDisabledParticipantsCurrentlyReceivingBenefits</t>
  </si>
  <si>
    <t>PensionPlanTotalPlanMembership</t>
  </si>
  <si>
    <t>PensionActuariallyDeterminedContribution</t>
  </si>
  <si>
    <t>PensionAnnualCost</t>
  </si>
  <si>
    <t>PensionActuarialValuationDate</t>
  </si>
  <si>
    <t>PensionPlanContributionRatesAsAPercentageOfPayoll</t>
  </si>
  <si>
    <t>PensionPlanActuarialCostMethodFunding</t>
  </si>
  <si>
    <t>PensionPlanAmortizationMethod</t>
  </si>
  <si>
    <t>PensionPlanMortalityRates</t>
  </si>
  <si>
    <t>PensionPlanRemainingAmortizationPeriod</t>
  </si>
  <si>
    <t>PensionPlanAssetValuationMethod</t>
  </si>
  <si>
    <t>PensionDiscountRate</t>
  </si>
  <si>
    <t>PensionAssumedInflationRate</t>
  </si>
  <si>
    <t>PensionAssumedSalaryGrowth</t>
  </si>
  <si>
    <t>PensionPlanTotalPensionLiability</t>
  </si>
  <si>
    <t>PensionPlanFiduciaryNetPosition</t>
  </si>
  <si>
    <t>PensionPlanNetPensionLiability</t>
  </si>
  <si>
    <t>PensionFundedRatio</t>
  </si>
  <si>
    <t>PensionNetLiabilityAtDiscountRatePlus1</t>
  </si>
  <si>
    <t>PensionNetLiabilityAtDiscountRateMinus1</t>
  </si>
  <si>
    <t>PensionPlanDeferredOuflowOfResources</t>
  </si>
  <si>
    <t>PensionPlanDeferredInflowOfResources</t>
  </si>
  <si>
    <t>num:percentItemType</t>
  </si>
  <si>
    <t>multi-employer health plan</t>
  </si>
  <si>
    <t>0</t>
  </si>
  <si>
    <t>4</t>
  </si>
  <si>
    <t>2.75</t>
  </si>
  <si>
    <t>3</t>
  </si>
  <si>
    <t>Delete Pension Plan</t>
  </si>
  <si>
    <t>Police Officers and Firefighters Defined Benefit Pension Plan</t>
  </si>
  <si>
    <t>11</t>
  </si>
  <si>
    <t>Entry Age Normal</t>
  </si>
  <si>
    <t>Level Percent, Closed</t>
  </si>
  <si>
    <t>30 years</t>
  </si>
  <si>
    <t>Market Value (Fair value)</t>
  </si>
  <si>
    <t>PensionPlanName</t>
  </si>
  <si>
    <t>5</t>
  </si>
  <si>
    <t>10-01-2015</t>
  </si>
  <si>
    <t>09-30-2016</t>
  </si>
  <si>
    <t>General employees defined benefit disability income plan</t>
  </si>
  <si>
    <t>39</t>
  </si>
  <si>
    <t>455</t>
  </si>
  <si>
    <t>483</t>
  </si>
  <si>
    <t>38.19</t>
  </si>
  <si>
    <t>2000</t>
  </si>
  <si>
    <t>7.50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</si>
</sst>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ＭＳ Ｐゴシック"/>
      <family val="3"/>
      <charset val="128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u/>
      <sz val="11"/>
      <color theme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92CDDC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theme="3" tint="0.79998168889431442"/>
      </top>
      <bottom/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/>
      <diagonal/>
    </border>
    <border>
      <left/>
      <right/>
      <top style="thin">
        <color indexed="64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/>
      <right/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3" tint="0.5999633777886288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3" tint="0.79998168889431442"/>
      </bottom>
      <diagonal/>
    </border>
    <border>
      <left style="thin">
        <color indexed="64"/>
      </left>
      <right/>
      <top/>
      <bottom style="thin">
        <color theme="3" tint="0.79998168889431442"/>
      </bottom>
      <diagonal/>
    </border>
    <border>
      <left/>
      <right style="thin">
        <color indexed="64"/>
      </right>
      <top/>
      <bottom style="thin">
        <color theme="3" tint="0.79998168889431442"/>
      </bottom>
      <diagonal/>
    </border>
    <border>
      <left/>
      <right style="thin">
        <color indexed="64"/>
      </right>
      <top style="thin">
        <color theme="3" tint="0.79998168889431442"/>
      </top>
      <bottom/>
      <diagonal/>
    </border>
  </borders>
  <cellStyleXfs count="7">
    <xf numFmtId="0" fontId="0" fillId="0" borderId="0"/>
    <xf numFmtId="0" fontId="2" fillId="0" borderId="0" applyNumberFormat="0" applyFont="0" applyFill="0" applyBorder="0" applyAlignment="0" applyProtection="0">
      <alignment vertical="top"/>
    </xf>
    <xf numFmtId="0" fontId="5" fillId="0" borderId="0"/>
    <xf numFmtId="0" fontId="8" fillId="0" borderId="0" applyNumberFormat="0" applyFill="0" applyBorder="0">
      <alignment vertical="center"/>
    </xf>
    <xf numFmtId="43" fontId="10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44" fontId="10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/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3" borderId="8" xfId="2" applyFont="1" applyFill="1" applyBorder="1" applyAlignment="1" applyProtection="1">
      <alignment horizontal="right" vertical="center"/>
      <protection hidden="1"/>
    </xf>
    <xf numFmtId="0" fontId="1" fillId="4" borderId="8" xfId="0" applyFont="1" applyFill="1" applyBorder="1" applyAlignment="1" applyProtection="1">
      <alignment horizontal="left" wrapText="1"/>
      <protection hidden="1"/>
    </xf>
    <xf numFmtId="0" fontId="1" fillId="4" borderId="8" xfId="0" applyFont="1" applyFill="1" applyBorder="1" applyAlignment="1" applyProtection="1">
      <alignment horizontal="left" wrapText="1" inden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1" fillId="4" borderId="8" xfId="0" applyFont="1" applyFill="1" applyBorder="1" applyAlignment="1" applyProtection="1">
      <alignment horizontal="left" wrapText="1" indent="2"/>
      <protection hidden="1"/>
    </xf>
    <xf numFmtId="0" fontId="4" fillId="2" borderId="8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/>
    <xf numFmtId="0" fontId="4" fillId="3" borderId="8" xfId="2" applyFont="1" applyFill="1" applyBorder="1" applyAlignment="1" applyProtection="1">
      <alignment horizontal="right" vertical="center" wrapText="1"/>
      <protection hidden="1"/>
    </xf>
    <xf numFmtId="0" fontId="4" fillId="3" borderId="8" xfId="2" applyFont="1" applyFill="1" applyBorder="1" applyAlignment="1" applyProtection="1">
      <alignment horizontal="right" indent="1"/>
      <protection hidden="1"/>
    </xf>
    <xf numFmtId="0" fontId="4" fillId="3" borderId="8" xfId="2" applyFont="1" applyFill="1" applyBorder="1" applyAlignment="1" applyProtection="1">
      <alignment horizontal="right" wrapText="1" indent="1"/>
      <protection hidden="1"/>
    </xf>
    <xf numFmtId="0" fontId="4" fillId="3" borderId="8" xfId="2" applyFont="1" applyFill="1" applyBorder="1" applyAlignment="1" applyProtection="1">
      <alignment horizontal="right" wrapText="1"/>
      <protection hidden="1"/>
    </xf>
    <xf numFmtId="0" fontId="0" fillId="0" borderId="11" xfId="0" applyBorder="1" applyAlignment="1" applyProtection="1">
      <alignment horizontal="left" indent="1"/>
      <protection hidden="1"/>
    </xf>
    <xf numFmtId="0" fontId="0" fillId="0" borderId="11" xfId="0" applyFill="1" applyBorder="1" applyAlignment="1" applyProtection="1">
      <alignment horizontal="left" indent="2"/>
      <protection hidden="1"/>
    </xf>
    <xf numFmtId="0" fontId="0" fillId="0" borderId="10" xfId="0" applyBorder="1" applyAlignment="1" applyProtection="1">
      <alignment horizontal="left" indent="2"/>
      <protection hidden="1"/>
    </xf>
    <xf numFmtId="0" fontId="0" fillId="0" borderId="0" xfId="0" applyProtection="1">
      <protection locked="0"/>
    </xf>
    <xf numFmtId="0" fontId="0" fillId="0" borderId="8" xfId="0" applyBorder="1" applyAlignment="1" applyProtection="1">
      <alignment horizontal="right"/>
      <protection hidden="1"/>
    </xf>
    <xf numFmtId="0" fontId="3" fillId="0" borderId="14" xfId="1" applyNumberFormat="1" applyFont="1" applyFill="1" applyBorder="1" applyAlignment="1" applyProtection="1">
      <alignment horizontal="left" indent="2"/>
      <protection hidden="1"/>
    </xf>
    <xf numFmtId="0" fontId="3" fillId="0" borderId="15" xfId="1" applyNumberFormat="1" applyFont="1" applyFill="1" applyBorder="1" applyAlignment="1" applyProtection="1">
      <alignment horizontal="left" indent="2"/>
      <protection hidden="1"/>
    </xf>
    <xf numFmtId="0" fontId="3" fillId="0" borderId="16" xfId="1" applyNumberFormat="1" applyFont="1" applyFill="1" applyBorder="1" applyAlignment="1" applyProtection="1">
      <alignment horizontal="left" indent="2"/>
      <protection hidden="1"/>
    </xf>
    <xf numFmtId="0" fontId="0" fillId="0" borderId="14" xfId="0" applyBorder="1" applyAlignment="1" applyProtection="1">
      <alignment horizontal="left" indent="1"/>
      <protection hidden="1"/>
    </xf>
    <xf numFmtId="0" fontId="0" fillId="0" borderId="15" xfId="0" applyBorder="1" applyAlignment="1" applyProtection="1">
      <alignment horizontal="left" indent="1"/>
      <protection hidden="1"/>
    </xf>
    <xf numFmtId="0" fontId="0" fillId="0" borderId="16" xfId="0" applyBorder="1" applyAlignment="1" applyProtection="1">
      <alignment horizontal="left" indent="1"/>
      <protection hidden="1"/>
    </xf>
    <xf numFmtId="0" fontId="0" fillId="0" borderId="17" xfId="0" applyBorder="1" applyAlignment="1" applyProtection="1">
      <alignment horizontal="left" indent="1"/>
      <protection hidden="1"/>
    </xf>
    <xf numFmtId="0" fontId="0" fillId="0" borderId="18" xfId="0" applyBorder="1" applyAlignment="1" applyProtection="1">
      <alignment horizontal="left" indent="1"/>
      <protection hidden="1"/>
    </xf>
    <xf numFmtId="0" fontId="0" fillId="0" borderId="19" xfId="0" applyBorder="1" applyAlignment="1" applyProtection="1">
      <alignment horizontal="left" indent="1"/>
      <protection hidden="1"/>
    </xf>
    <xf numFmtId="0" fontId="0" fillId="0" borderId="17" xfId="0" applyBorder="1" applyAlignment="1" applyProtection="1">
      <alignment horizontal="left" indent="2"/>
      <protection hidden="1"/>
    </xf>
    <xf numFmtId="0" fontId="0" fillId="0" borderId="18" xfId="0" applyBorder="1" applyAlignment="1" applyProtection="1">
      <alignment horizontal="left" indent="2"/>
      <protection hidden="1"/>
    </xf>
    <xf numFmtId="0" fontId="0" fillId="0" borderId="19" xfId="0" applyBorder="1" applyAlignment="1" applyProtection="1">
      <alignment horizontal="left" indent="2"/>
      <protection hidden="1"/>
    </xf>
    <xf numFmtId="0" fontId="0" fillId="0" borderId="20" xfId="0" applyBorder="1" applyAlignment="1" applyProtection="1">
      <alignment horizontal="left" indent="1"/>
      <protection hidden="1"/>
    </xf>
    <xf numFmtId="0" fontId="0" fillId="0" borderId="14" xfId="0" applyBorder="1" applyAlignment="1" applyProtection="1">
      <alignment horizontal="left" indent="2"/>
      <protection hidden="1"/>
    </xf>
    <xf numFmtId="0" fontId="0" fillId="0" borderId="15" xfId="0" applyBorder="1" applyAlignment="1" applyProtection="1">
      <alignment horizontal="left" indent="2"/>
      <protection hidden="1"/>
    </xf>
    <xf numFmtId="0" fontId="0" fillId="0" borderId="16" xfId="0" applyBorder="1" applyAlignment="1" applyProtection="1">
      <alignment horizontal="left" indent="2"/>
      <protection hidden="1"/>
    </xf>
    <xf numFmtId="0" fontId="0" fillId="0" borderId="14" xfId="0" applyFont="1" applyFill="1" applyBorder="1" applyAlignment="1" applyProtection="1">
      <alignment horizontal="left" wrapText="1" indent="2"/>
      <protection hidden="1"/>
    </xf>
    <xf numFmtId="0" fontId="0" fillId="0" borderId="17" xfId="0" applyFill="1" applyBorder="1" applyAlignment="1" applyProtection="1">
      <alignment horizontal="left" indent="2"/>
      <protection hidden="1"/>
    </xf>
    <xf numFmtId="0" fontId="0" fillId="0" borderId="19" xfId="0" applyFill="1" applyBorder="1" applyAlignment="1" applyProtection="1">
      <alignment horizontal="left" indent="2"/>
      <protection hidden="1"/>
    </xf>
    <xf numFmtId="0" fontId="0" fillId="0" borderId="17" xfId="0" applyBorder="1" applyAlignment="1" applyProtection="1">
      <alignment horizontal="left" indent="3"/>
      <protection hidden="1"/>
    </xf>
    <xf numFmtId="0" fontId="0" fillId="0" borderId="18" xfId="0" applyBorder="1" applyAlignment="1" applyProtection="1">
      <alignment horizontal="left" indent="3"/>
      <protection hidden="1"/>
    </xf>
    <xf numFmtId="0" fontId="0" fillId="0" borderId="19" xfId="0" applyBorder="1" applyAlignment="1" applyProtection="1">
      <alignment horizontal="left" indent="3"/>
      <protection hidden="1"/>
    </xf>
    <xf numFmtId="0" fontId="0" fillId="0" borderId="2" xfId="0" applyFill="1" applyBorder="1" applyAlignment="1" applyProtection="1">
      <alignment horizontal="left" indent="2"/>
      <protection hidden="1"/>
    </xf>
    <xf numFmtId="0" fontId="0" fillId="8" borderId="27" xfId="0" applyFill="1" applyBorder="1" applyAlignment="1" applyProtection="1">
      <alignment horizontal="center" vertical="center"/>
      <protection locked="0"/>
    </xf>
    <xf numFmtId="49" fontId="0" fillId="8" borderId="28" xfId="0" applyNumberFormat="1" applyFill="1" applyBorder="1" applyAlignment="1" applyProtection="1">
      <alignment horizontal="center" vertical="center"/>
      <protection locked="0"/>
    </xf>
    <xf numFmtId="49" fontId="0" fillId="8" borderId="29" xfId="0" applyNumberFormat="1" applyFill="1" applyBorder="1" applyAlignment="1" applyProtection="1">
      <alignment horizontal="center"/>
      <protection locked="0"/>
    </xf>
    <xf numFmtId="49" fontId="0" fillId="8" borderId="27" xfId="0" applyNumberFormat="1" applyFill="1" applyBorder="1" applyAlignment="1" applyProtection="1">
      <alignment horizontal="center"/>
      <protection locked="0"/>
    </xf>
    <xf numFmtId="0" fontId="6" fillId="0" borderId="27" xfId="0" applyFont="1" applyFill="1" applyBorder="1" applyAlignment="1" applyProtection="1">
      <alignment horizontal="left" vertical="center" indent="2"/>
    </xf>
    <xf numFmtId="0" fontId="6" fillId="0" borderId="28" xfId="0" applyFont="1" applyFill="1" applyBorder="1" applyAlignment="1" applyProtection="1">
      <alignment horizontal="left" vertical="center" wrapText="1" indent="2"/>
    </xf>
    <xf numFmtId="0" fontId="6" fillId="0" borderId="29" xfId="0" applyFont="1" applyFill="1" applyBorder="1" applyAlignment="1" applyProtection="1">
      <alignment horizontal="left" vertical="center" indent="2"/>
    </xf>
    <xf numFmtId="49" fontId="0" fillId="0" borderId="0" xfId="0" applyNumberFormat="1"/>
    <xf numFmtId="0" fontId="9" fillId="10" borderId="0" xfId="0" applyFont="1" applyFill="1" applyAlignment="1"/>
    <xf numFmtId="0" fontId="9" fillId="9" borderId="0" xfId="0" applyFont="1" applyFill="1" applyAlignment="1">
      <alignment horizontal="center" vertical="center"/>
    </xf>
    <xf numFmtId="41" fontId="4" fillId="7" borderId="8" xfId="4" applyNumberFormat="1" applyFont="1" applyFill="1" applyBorder="1" applyAlignment="1" applyProtection="1">
      <alignment horizontal="right" vertical="center"/>
      <protection hidden="1"/>
    </xf>
    <xf numFmtId="41" fontId="0" fillId="8" borderId="9" xfId="4" applyNumberFormat="1" applyFont="1" applyFill="1" applyBorder="1" applyProtection="1">
      <protection locked="0"/>
    </xf>
    <xf numFmtId="41" fontId="0" fillId="8" borderId="17" xfId="4" applyNumberFormat="1" applyFont="1" applyFill="1" applyBorder="1" applyProtection="1">
      <protection locked="0"/>
    </xf>
    <xf numFmtId="41" fontId="0" fillId="8" borderId="18" xfId="4" applyNumberFormat="1" applyFont="1" applyFill="1" applyBorder="1" applyProtection="1">
      <protection locked="0"/>
    </xf>
    <xf numFmtId="41" fontId="0" fillId="8" borderId="19" xfId="4" applyNumberFormat="1" applyFont="1" applyFill="1" applyBorder="1" applyProtection="1">
      <protection locked="0"/>
    </xf>
    <xf numFmtId="41" fontId="0" fillId="8" borderId="16" xfId="4" applyNumberFormat="1" applyFont="1" applyFill="1" applyBorder="1" applyProtection="1">
      <protection hidden="1"/>
    </xf>
    <xf numFmtId="41" fontId="0" fillId="8" borderId="11" xfId="4" applyNumberFormat="1" applyFont="1" applyFill="1" applyBorder="1" applyProtection="1">
      <protection locked="0"/>
    </xf>
    <xf numFmtId="41" fontId="0" fillId="8" borderId="9" xfId="4" applyNumberFormat="1" applyFont="1" applyFill="1" applyBorder="1" applyProtection="1">
      <protection hidden="1"/>
    </xf>
    <xf numFmtId="41" fontId="0" fillId="8" borderId="20" xfId="4" applyNumberFormat="1" applyFont="1" applyFill="1" applyBorder="1" applyProtection="1">
      <protection locked="0"/>
    </xf>
    <xf numFmtId="41" fontId="1" fillId="7" borderId="8" xfId="4" applyNumberFormat="1" applyFont="1" applyFill="1" applyBorder="1" applyAlignment="1" applyProtection="1">
      <alignment horizontal="right" wrapText="1"/>
      <protection hidden="1"/>
    </xf>
    <xf numFmtId="41" fontId="0" fillId="8" borderId="14" xfId="4" applyNumberFormat="1" applyFont="1" applyFill="1" applyBorder="1" applyProtection="1">
      <protection locked="0"/>
    </xf>
    <xf numFmtId="41" fontId="0" fillId="8" borderId="14" xfId="0" applyNumberFormat="1" applyFill="1" applyBorder="1" applyProtection="1">
      <protection locked="0"/>
    </xf>
    <xf numFmtId="41" fontId="0" fillId="8" borderId="15" xfId="0" applyNumberFormat="1" applyFill="1" applyBorder="1" applyProtection="1">
      <protection locked="0"/>
    </xf>
    <xf numFmtId="41" fontId="0" fillId="8" borderId="25" xfId="0" applyNumberFormat="1" applyFill="1" applyBorder="1" applyProtection="1">
      <protection hidden="1"/>
    </xf>
    <xf numFmtId="41" fontId="0" fillId="8" borderId="16" xfId="0" applyNumberFormat="1" applyFill="1" applyBorder="1" applyProtection="1">
      <protection locked="0"/>
    </xf>
    <xf numFmtId="41" fontId="0" fillId="8" borderId="26" xfId="0" applyNumberFormat="1" applyFill="1" applyBorder="1" applyProtection="1">
      <protection hidden="1"/>
    </xf>
    <xf numFmtId="41" fontId="0" fillId="8" borderId="23" xfId="0" applyNumberFormat="1" applyFill="1" applyBorder="1" applyProtection="1">
      <protection hidden="1"/>
    </xf>
    <xf numFmtId="41" fontId="1" fillId="7" borderId="8" xfId="0" applyNumberFormat="1" applyFont="1" applyFill="1" applyBorder="1" applyAlignment="1" applyProtection="1">
      <alignment horizontal="right" wrapText="1"/>
      <protection hidden="1"/>
    </xf>
    <xf numFmtId="41" fontId="0" fillId="0" borderId="0" xfId="0" applyNumberFormat="1" applyProtection="1">
      <protection locked="0"/>
    </xf>
    <xf numFmtId="41" fontId="4" fillId="7" borderId="8" xfId="2" applyNumberFormat="1" applyFont="1" applyFill="1" applyBorder="1" applyAlignment="1" applyProtection="1">
      <alignment horizontal="right" vertical="center"/>
      <protection hidden="1"/>
    </xf>
    <xf numFmtId="41" fontId="4" fillId="7" borderId="10" xfId="2" applyNumberFormat="1" applyFont="1" applyFill="1" applyBorder="1" applyAlignment="1" applyProtection="1">
      <alignment horizontal="right" vertical="center"/>
      <protection hidden="1"/>
    </xf>
    <xf numFmtId="41" fontId="0" fillId="0" borderId="0" xfId="0" applyNumberFormat="1"/>
    <xf numFmtId="41" fontId="1" fillId="4" borderId="8" xfId="0" applyNumberFormat="1" applyFont="1" applyFill="1" applyBorder="1" applyAlignment="1" applyProtection="1">
      <alignment horizontal="left" wrapText="1" indent="1"/>
      <protection hidden="1"/>
    </xf>
    <xf numFmtId="41" fontId="0" fillId="0" borderId="15" xfId="0" applyNumberFormat="1" applyBorder="1" applyAlignment="1" applyProtection="1">
      <alignment horizontal="left" indent="2"/>
      <protection hidden="1"/>
    </xf>
    <xf numFmtId="41" fontId="0" fillId="8" borderId="22" xfId="0" applyNumberFormat="1" applyFill="1" applyBorder="1" applyProtection="1">
      <protection locked="0"/>
    </xf>
    <xf numFmtId="41" fontId="0" fillId="8" borderId="24" xfId="0" applyNumberFormat="1" applyFill="1" applyBorder="1" applyProtection="1">
      <protection locked="0"/>
    </xf>
    <xf numFmtId="41" fontId="4" fillId="3" borderId="8" xfId="2" applyNumberFormat="1" applyFont="1" applyFill="1" applyBorder="1" applyAlignment="1" applyProtection="1">
      <alignment horizontal="right" vertical="center"/>
      <protection hidden="1"/>
    </xf>
    <xf numFmtId="41" fontId="1" fillId="7" borderId="3" xfId="0" applyNumberFormat="1" applyFont="1" applyFill="1" applyBorder="1" applyAlignment="1" applyProtection="1">
      <alignment wrapText="1"/>
      <protection hidden="1"/>
    </xf>
    <xf numFmtId="41" fontId="1" fillId="7" borderId="8" xfId="0" applyNumberFormat="1" applyFont="1" applyFill="1" applyBorder="1" applyAlignment="1" applyProtection="1">
      <alignment wrapText="1"/>
      <protection hidden="1"/>
    </xf>
    <xf numFmtId="41" fontId="0" fillId="8" borderId="8" xfId="0" applyNumberFormat="1" applyFill="1" applyBorder="1" applyProtection="1">
      <protection locked="0"/>
    </xf>
    <xf numFmtId="41" fontId="0" fillId="0" borderId="8" xfId="0" applyNumberFormat="1" applyBorder="1" applyProtection="1">
      <protection hidden="1"/>
    </xf>
    <xf numFmtId="41" fontId="4" fillId="3" borderId="8" xfId="2" applyNumberFormat="1" applyFont="1" applyFill="1" applyBorder="1" applyAlignment="1" applyProtection="1">
      <alignment horizontal="right" wrapText="1"/>
      <protection hidden="1"/>
    </xf>
    <xf numFmtId="41" fontId="0" fillId="8" borderId="8" xfId="0" applyNumberFormat="1" applyFill="1" applyBorder="1" applyProtection="1">
      <protection hidden="1"/>
    </xf>
    <xf numFmtId="41" fontId="4" fillId="7" borderId="8" xfId="2" applyNumberFormat="1" applyFont="1" applyFill="1" applyBorder="1" applyAlignment="1" applyProtection="1">
      <alignment horizontal="right" wrapText="1"/>
      <protection hidden="1"/>
    </xf>
    <xf numFmtId="41" fontId="0" fillId="0" borderId="14" xfId="0" applyNumberFormat="1" applyBorder="1" applyAlignment="1" applyProtection="1">
      <alignment horizontal="left" indent="3"/>
      <protection locked="0"/>
    </xf>
    <xf numFmtId="41" fontId="0" fillId="0" borderId="15" xfId="0" applyNumberFormat="1" applyBorder="1" applyAlignment="1" applyProtection="1">
      <alignment horizontal="left" indent="3"/>
      <protection locked="0"/>
    </xf>
    <xf numFmtId="41" fontId="0" fillId="0" borderId="16" xfId="0" applyNumberFormat="1" applyBorder="1" applyAlignment="1" applyProtection="1">
      <alignment horizontal="left" indent="3"/>
      <protection locked="0"/>
    </xf>
    <xf numFmtId="41" fontId="4" fillId="3" borderId="8" xfId="2" applyNumberFormat="1" applyFont="1" applyFill="1" applyBorder="1" applyAlignment="1" applyProtection="1">
      <alignment horizontal="right" wrapText="1"/>
      <protection locked="0"/>
    </xf>
    <xf numFmtId="41" fontId="1" fillId="4" borderId="8" xfId="0" applyNumberFormat="1" applyFont="1" applyFill="1" applyBorder="1" applyAlignment="1" applyProtection="1">
      <alignment horizontal="left" wrapText="1" indent="2"/>
      <protection locked="0"/>
    </xf>
    <xf numFmtId="41" fontId="0" fillId="0" borderId="17" xfId="0" applyNumberFormat="1" applyFill="1" applyBorder="1" applyAlignment="1" applyProtection="1">
      <alignment horizontal="left" indent="3"/>
      <protection locked="0"/>
    </xf>
    <xf numFmtId="41" fontId="0" fillId="0" borderId="19" xfId="0" applyNumberFormat="1" applyFill="1" applyBorder="1" applyAlignment="1" applyProtection="1">
      <alignment horizontal="left" indent="3"/>
      <protection locked="0"/>
    </xf>
    <xf numFmtId="41" fontId="0" fillId="0" borderId="14" xfId="0" applyNumberFormat="1" applyFill="1" applyBorder="1" applyAlignment="1" applyProtection="1">
      <alignment horizontal="left" indent="3"/>
      <protection locked="0"/>
    </xf>
    <xf numFmtId="41" fontId="0" fillId="0" borderId="15" xfId="0" applyNumberFormat="1" applyFill="1" applyBorder="1" applyAlignment="1" applyProtection="1">
      <alignment horizontal="left" indent="3"/>
      <protection locked="0"/>
    </xf>
    <xf numFmtId="41" fontId="0" fillId="0" borderId="16" xfId="0" applyNumberFormat="1" applyFill="1" applyBorder="1" applyAlignment="1" applyProtection="1">
      <alignment horizontal="left" indent="3"/>
      <protection locked="0"/>
    </xf>
    <xf numFmtId="41" fontId="1" fillId="0" borderId="8" xfId="0" applyNumberFormat="1" applyFont="1" applyFill="1" applyBorder="1" applyAlignment="1" applyProtection="1">
      <alignment horizontal="left" indent="2"/>
      <protection locked="0"/>
    </xf>
    <xf numFmtId="41" fontId="1" fillId="4" borderId="8" xfId="0" applyNumberFormat="1" applyFont="1" applyFill="1" applyBorder="1" applyAlignment="1" applyProtection="1">
      <alignment horizontal="left" wrapText="1" indent="1"/>
      <protection locked="0"/>
    </xf>
    <xf numFmtId="41" fontId="0" fillId="0" borderId="18" xfId="0" applyNumberFormat="1" applyFill="1" applyBorder="1" applyAlignment="1" applyProtection="1">
      <alignment horizontal="left" indent="3"/>
      <protection locked="0"/>
    </xf>
    <xf numFmtId="41" fontId="0" fillId="8" borderId="14" xfId="0" applyNumberFormat="1" applyFill="1" applyBorder="1" applyProtection="1">
      <protection hidden="1"/>
    </xf>
    <xf numFmtId="41" fontId="0" fillId="8" borderId="23" xfId="0" applyNumberFormat="1" applyFill="1" applyBorder="1" applyProtection="1">
      <protection locked="0"/>
    </xf>
    <xf numFmtId="41" fontId="0" fillId="8" borderId="15" xfId="0" applyNumberFormat="1" applyFill="1" applyBorder="1" applyProtection="1">
      <protection hidden="1"/>
    </xf>
    <xf numFmtId="41" fontId="0" fillId="8" borderId="25" xfId="0" applyNumberFormat="1" applyFill="1" applyBorder="1" applyProtection="1">
      <protection locked="0"/>
    </xf>
    <xf numFmtId="41" fontId="0" fillId="8" borderId="16" xfId="0" applyNumberFormat="1" applyFill="1" applyBorder="1" applyProtection="1">
      <protection hidden="1"/>
    </xf>
    <xf numFmtId="41" fontId="0" fillId="8" borderId="26" xfId="0" applyNumberFormat="1" applyFill="1" applyBorder="1" applyProtection="1">
      <protection locked="0"/>
    </xf>
    <xf numFmtId="41" fontId="0" fillId="11" borderId="15" xfId="0" applyNumberFormat="1" applyFill="1" applyBorder="1" applyProtection="1">
      <protection locked="0"/>
    </xf>
    <xf numFmtId="41" fontId="0" fillId="11" borderId="15" xfId="0" applyNumberFormat="1" applyFill="1" applyBorder="1" applyProtection="1">
      <protection hidden="1"/>
    </xf>
    <xf numFmtId="41" fontId="0" fillId="11" borderId="25" xfId="0" applyNumberFormat="1" applyFill="1" applyBorder="1" applyProtection="1">
      <protection locked="0"/>
    </xf>
    <xf numFmtId="41" fontId="0" fillId="0" borderId="14" xfId="0" applyNumberFormat="1" applyBorder="1" applyAlignment="1" applyProtection="1">
      <alignment horizontal="left" indent="2"/>
      <protection hidden="1"/>
    </xf>
    <xf numFmtId="41" fontId="0" fillId="0" borderId="16" xfId="0" applyNumberFormat="1" applyBorder="1" applyAlignment="1" applyProtection="1">
      <alignment horizontal="left" indent="2"/>
      <protection hidden="1"/>
    </xf>
    <xf numFmtId="41" fontId="0" fillId="0" borderId="17" xfId="0" applyNumberFormat="1" applyFill="1" applyBorder="1" applyAlignment="1" applyProtection="1">
      <alignment horizontal="left" indent="2"/>
      <protection hidden="1"/>
    </xf>
    <xf numFmtId="41" fontId="0" fillId="0" borderId="18" xfId="0" applyNumberFormat="1" applyFill="1" applyBorder="1" applyAlignment="1" applyProtection="1">
      <alignment horizontal="left" indent="2"/>
      <protection hidden="1"/>
    </xf>
    <xf numFmtId="41" fontId="0" fillId="0" borderId="19" xfId="0" applyNumberFormat="1" applyFill="1" applyBorder="1" applyAlignment="1" applyProtection="1">
      <alignment horizontal="left" indent="2"/>
      <protection hidden="1"/>
    </xf>
    <xf numFmtId="41" fontId="0" fillId="0" borderId="8" xfId="0" applyNumberFormat="1" applyBorder="1" applyAlignment="1" applyProtection="1">
      <alignment horizontal="left" indent="1"/>
      <protection hidden="1"/>
    </xf>
    <xf numFmtId="41" fontId="0" fillId="8" borderId="12" xfId="0" applyNumberFormat="1" applyFill="1" applyBorder="1" applyProtection="1">
      <protection locked="0"/>
    </xf>
    <xf numFmtId="41" fontId="0" fillId="8" borderId="9" xfId="0" applyNumberFormat="1" applyFill="1" applyBorder="1" applyProtection="1">
      <protection locked="0"/>
    </xf>
    <xf numFmtId="41" fontId="4" fillId="3" borderId="8" xfId="2" applyNumberFormat="1" applyFont="1" applyFill="1" applyBorder="1" applyAlignment="1" applyProtection="1">
      <alignment horizontal="right" vertical="center" wrapText="1"/>
      <protection hidden="1"/>
    </xf>
    <xf numFmtId="41" fontId="0" fillId="0" borderId="8" xfId="0" applyNumberFormat="1" applyBorder="1" applyAlignment="1" applyProtection="1">
      <alignment horizontal="left" indent="2"/>
      <protection hidden="1"/>
    </xf>
    <xf numFmtId="41" fontId="0" fillId="0" borderId="8" xfId="0" applyNumberFormat="1" applyBorder="1" applyAlignment="1" applyProtection="1">
      <alignment wrapText="1"/>
      <protection hidden="1"/>
    </xf>
    <xf numFmtId="41" fontId="6" fillId="0" borderId="15" xfId="0" applyNumberFormat="1" applyFont="1" applyBorder="1" applyAlignment="1" applyProtection="1">
      <alignment horizontal="left" indent="2"/>
      <protection hidden="1"/>
    </xf>
    <xf numFmtId="41" fontId="1" fillId="4" borderId="2" xfId="0" applyNumberFormat="1" applyFont="1" applyFill="1" applyBorder="1" applyAlignment="1" applyProtection="1">
      <alignment wrapText="1"/>
      <protection hidden="1"/>
    </xf>
    <xf numFmtId="41" fontId="1" fillId="4" borderId="1" xfId="0" applyNumberFormat="1" applyFont="1" applyFill="1" applyBorder="1" applyAlignment="1" applyProtection="1">
      <alignment wrapText="1"/>
      <protection hidden="1"/>
    </xf>
    <xf numFmtId="41" fontId="1" fillId="4" borderId="3" xfId="0" applyNumberFormat="1" applyFont="1" applyFill="1" applyBorder="1" applyAlignment="1" applyProtection="1">
      <alignment wrapText="1"/>
      <protection hidden="1"/>
    </xf>
    <xf numFmtId="41" fontId="1" fillId="4" borderId="2" xfId="0" applyNumberFormat="1" applyFont="1" applyFill="1" applyBorder="1" applyAlignment="1" applyProtection="1">
      <alignment wrapText="1"/>
      <protection locked="0"/>
    </xf>
    <xf numFmtId="41" fontId="1" fillId="4" borderId="1" xfId="0" applyNumberFormat="1" applyFont="1" applyFill="1" applyBorder="1" applyAlignment="1" applyProtection="1">
      <alignment wrapText="1"/>
      <protection locked="0"/>
    </xf>
    <xf numFmtId="41" fontId="1" fillId="4" borderId="3" xfId="0" applyNumberFormat="1" applyFont="1" applyFill="1" applyBorder="1" applyAlignment="1" applyProtection="1">
      <alignment wrapText="1"/>
      <protection locked="0"/>
    </xf>
    <xf numFmtId="0" fontId="1" fillId="4" borderId="2" xfId="0" applyFont="1" applyFill="1" applyBorder="1" applyAlignment="1" applyProtection="1">
      <alignment wrapText="1"/>
      <protection hidden="1"/>
    </xf>
    <xf numFmtId="0" fontId="1" fillId="4" borderId="1" xfId="0" applyFont="1" applyFill="1" applyBorder="1" applyAlignment="1" applyProtection="1">
      <alignment wrapText="1"/>
      <protection hidden="1"/>
    </xf>
    <xf numFmtId="0" fontId="1" fillId="4" borderId="3" xfId="0" applyFont="1" applyFill="1" applyBorder="1" applyAlignment="1" applyProtection="1">
      <alignment wrapText="1"/>
      <protection hidden="1"/>
    </xf>
    <xf numFmtId="0" fontId="4" fillId="8" borderId="8" xfId="0" applyFont="1" applyFill="1" applyBorder="1" applyAlignment="1" applyProtection="1">
      <alignment horizontal="center" vertical="center" wrapText="1"/>
      <protection locked="0"/>
    </xf>
    <xf numFmtId="0" fontId="4" fillId="8" borderId="8" xfId="0" applyFont="1" applyFill="1" applyBorder="1" applyAlignment="1" applyProtection="1">
      <alignment horizontal="center" vertical="center" wrapText="1"/>
      <protection hidden="1"/>
    </xf>
    <xf numFmtId="41" fontId="0" fillId="0" borderId="21" xfId="0" applyNumberFormat="1" applyBorder="1" applyAlignment="1" applyProtection="1">
      <alignment horizontal="left" indent="2"/>
      <protection hidden="1"/>
    </xf>
    <xf numFmtId="0" fontId="11" fillId="0" borderId="0" xfId="0" applyFont="1"/>
    <xf numFmtId="0" fontId="4" fillId="8" borderId="2" xfId="0" applyFont="1" applyFill="1" applyBorder="1" applyAlignment="1" applyProtection="1">
      <alignment horizontal="center" vertical="center" wrapText="1"/>
      <protection locked="0"/>
    </xf>
    <xf numFmtId="49" fontId="4" fillId="2" borderId="7" xfId="0" applyNumberFormat="1" applyFont="1" applyFill="1" applyBorder="1" applyAlignment="1" applyProtection="1">
      <alignment horizontal="center" vertical="center" wrapText="1"/>
      <protection hidden="1"/>
    </xf>
    <xf numFmtId="49" fontId="4" fillId="2" borderId="8" xfId="0" applyNumberFormat="1" applyFont="1" applyFill="1" applyBorder="1" applyAlignment="1" applyProtection="1">
      <alignment horizontal="center" vertical="center" wrapText="1"/>
      <protection hidden="1"/>
    </xf>
    <xf numFmtId="49" fontId="4" fillId="2" borderId="3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30" xfId="0" applyBorder="1" applyAlignment="1" applyProtection="1">
      <alignment horizontal="left" indent="1"/>
      <protection hidden="1"/>
    </xf>
    <xf numFmtId="41" fontId="0" fillId="8" borderId="31" xfId="4" applyNumberFormat="1" applyFont="1" applyFill="1" applyBorder="1" applyProtection="1">
      <protection locked="0"/>
    </xf>
    <xf numFmtId="0" fontId="3" fillId="0" borderId="9" xfId="1" applyNumberFormat="1" applyFont="1" applyFill="1" applyBorder="1" applyAlignment="1" applyProtection="1">
      <alignment horizontal="left" indent="2"/>
      <protection hidden="1"/>
    </xf>
    <xf numFmtId="0" fontId="0" fillId="0" borderId="20" xfId="0" applyBorder="1" applyAlignment="1" applyProtection="1">
      <alignment horizontal="left" indent="2"/>
      <protection hidden="1"/>
    </xf>
    <xf numFmtId="0" fontId="0" fillId="0" borderId="21" xfId="0" applyBorder="1" applyAlignment="1" applyProtection="1">
      <alignment horizontal="left" indent="2"/>
      <protection hidden="1"/>
    </xf>
    <xf numFmtId="41" fontId="0" fillId="8" borderId="21" xfId="0" applyNumberFormat="1" applyFill="1" applyBorder="1" applyProtection="1">
      <protection locked="0"/>
    </xf>
    <xf numFmtId="41" fontId="0" fillId="8" borderId="21" xfId="0" applyNumberFormat="1" applyFill="1" applyBorder="1" applyProtection="1">
      <protection hidden="1"/>
    </xf>
    <xf numFmtId="0" fontId="0" fillId="0" borderId="31" xfId="0" applyBorder="1" applyAlignment="1" applyProtection="1">
      <alignment horizontal="left" indent="2"/>
      <protection hidden="1"/>
    </xf>
    <xf numFmtId="41" fontId="0" fillId="8" borderId="30" xfId="0" applyNumberFormat="1" applyFill="1" applyBorder="1" applyProtection="1">
      <protection locked="0"/>
    </xf>
    <xf numFmtId="41" fontId="0" fillId="8" borderId="32" xfId="0" applyNumberFormat="1" applyFill="1" applyBorder="1" applyProtection="1">
      <protection hidden="1"/>
    </xf>
    <xf numFmtId="41" fontId="0" fillId="8" borderId="33" xfId="0" applyNumberFormat="1" applyFill="1" applyBorder="1" applyProtection="1">
      <protection hidden="1"/>
    </xf>
    <xf numFmtId="0" fontId="0" fillId="0" borderId="30" xfId="0" applyBorder="1" applyAlignment="1" applyProtection="1">
      <alignment horizontal="left" indent="3"/>
      <protection hidden="1"/>
    </xf>
    <xf numFmtId="0" fontId="0" fillId="0" borderId="20" xfId="0" applyBorder="1" applyAlignment="1" applyProtection="1">
      <alignment horizontal="left" indent="3"/>
      <protection hidden="1"/>
    </xf>
    <xf numFmtId="0" fontId="0" fillId="0" borderId="11" xfId="0" applyBorder="1" applyAlignment="1" applyProtection="1">
      <alignment horizontal="left" indent="3"/>
      <protection hidden="1"/>
    </xf>
    <xf numFmtId="41" fontId="0" fillId="8" borderId="12" xfId="0" applyNumberFormat="1" applyFill="1" applyBorder="1" applyProtection="1">
      <protection hidden="1"/>
    </xf>
    <xf numFmtId="41" fontId="0" fillId="0" borderId="20" xfId="0" applyNumberFormat="1" applyFill="1" applyBorder="1" applyAlignment="1" applyProtection="1">
      <alignment horizontal="left" indent="3"/>
      <protection locked="0"/>
    </xf>
    <xf numFmtId="41" fontId="0" fillId="8" borderId="33" xfId="0" applyNumberFormat="1" applyFill="1" applyBorder="1" applyProtection="1">
      <protection locked="0"/>
    </xf>
    <xf numFmtId="41" fontId="1" fillId="4" borderId="8" xfId="0" applyNumberFormat="1" applyFont="1" applyFill="1" applyBorder="1" applyAlignment="1" applyProtection="1">
      <alignment horizontal="left" wrapText="1" indent="3"/>
      <protection locked="0"/>
    </xf>
    <xf numFmtId="41" fontId="0" fillId="0" borderId="31" xfId="0" applyNumberFormat="1" applyFill="1" applyBorder="1" applyAlignment="1" applyProtection="1">
      <alignment horizontal="left" indent="3"/>
      <protection locked="0"/>
    </xf>
    <xf numFmtId="41" fontId="0" fillId="8" borderId="32" xfId="0" applyNumberFormat="1" applyFill="1" applyBorder="1" applyProtection="1">
      <protection locked="0"/>
    </xf>
    <xf numFmtId="41" fontId="0" fillId="0" borderId="20" xfId="0" applyNumberFormat="1" applyFill="1" applyBorder="1" applyAlignment="1" applyProtection="1">
      <alignment horizontal="left" indent="2"/>
      <protection hidden="1"/>
    </xf>
    <xf numFmtId="41" fontId="1" fillId="4" borderId="8" xfId="0" applyNumberFormat="1" applyFont="1" applyFill="1" applyBorder="1" applyAlignment="1" applyProtection="1">
      <alignment horizontal="left" wrapText="1" indent="2"/>
      <protection hidden="1"/>
    </xf>
    <xf numFmtId="41" fontId="6" fillId="0" borderId="21" xfId="0" applyNumberFormat="1" applyFont="1" applyBorder="1" applyAlignment="1" applyProtection="1">
      <alignment horizontal="left" indent="2"/>
      <protection hidden="1"/>
    </xf>
    <xf numFmtId="0" fontId="0" fillId="12" borderId="0" xfId="0" applyFill="1"/>
    <xf numFmtId="0" fontId="0" fillId="0" borderId="15" xfId="0" applyBorder="1" applyAlignment="1" applyProtection="1">
      <alignment horizontal="left" indent="3"/>
      <protection hidden="1"/>
    </xf>
    <xf numFmtId="0" fontId="0" fillId="0" borderId="15" xfId="0" applyBorder="1" applyAlignment="1" applyProtection="1">
      <alignment horizontal="left" wrapText="1" indent="3"/>
      <protection hidden="1"/>
    </xf>
    <xf numFmtId="41" fontId="0" fillId="0" borderId="14" xfId="0" applyNumberFormat="1" applyFill="1" applyBorder="1" applyAlignment="1" applyProtection="1">
      <alignment horizontal="left" indent="2"/>
      <protection hidden="1"/>
    </xf>
    <xf numFmtId="41" fontId="0" fillId="0" borderId="16" xfId="0" applyNumberFormat="1" applyFill="1" applyBorder="1" applyAlignment="1" applyProtection="1">
      <alignment horizontal="left" indent="2"/>
      <protection hidden="1"/>
    </xf>
    <xf numFmtId="41" fontId="0" fillId="7" borderId="8" xfId="0" applyNumberFormat="1" applyFill="1" applyBorder="1" applyProtection="1">
      <protection locked="0"/>
    </xf>
    <xf numFmtId="41" fontId="0" fillId="7" borderId="8" xfId="0" applyNumberFormat="1" applyFill="1" applyBorder="1" applyProtection="1">
      <protection hidden="1"/>
    </xf>
    <xf numFmtId="41" fontId="0" fillId="7" borderId="25" xfId="0" applyNumberFormat="1" applyFill="1" applyBorder="1" applyProtection="1">
      <protection hidden="1"/>
    </xf>
    <xf numFmtId="41" fontId="0" fillId="14" borderId="16" xfId="0" applyNumberFormat="1" applyFill="1" applyBorder="1" applyProtection="1">
      <protection locked="0"/>
    </xf>
    <xf numFmtId="41" fontId="0" fillId="14" borderId="16" xfId="0" applyNumberFormat="1" applyFill="1" applyBorder="1" applyProtection="1">
      <protection hidden="1"/>
    </xf>
    <xf numFmtId="0" fontId="6" fillId="0" borderId="28" xfId="0" applyFont="1" applyFill="1" applyBorder="1" applyAlignment="1" applyProtection="1">
      <alignment horizontal="left" vertical="center" indent="2"/>
    </xf>
    <xf numFmtId="0" fontId="0" fillId="0" borderId="0" xfId="0" applyFill="1" applyBorder="1"/>
    <xf numFmtId="0" fontId="7" fillId="2" borderId="8" xfId="0" applyFont="1" applyFill="1" applyBorder="1" applyAlignment="1" applyProtection="1">
      <alignment vertical="center"/>
      <protection hidden="1"/>
    </xf>
    <xf numFmtId="0" fontId="7" fillId="2" borderId="8" xfId="0" applyFont="1" applyFill="1" applyBorder="1" applyAlignment="1" applyProtection="1">
      <alignment horizontal="center" vertical="center"/>
    </xf>
    <xf numFmtId="0" fontId="6" fillId="0" borderId="28" xfId="0" applyFont="1" applyFill="1" applyBorder="1" applyAlignment="1" applyProtection="1">
      <alignment horizontal="left" vertical="center" wrapText="1"/>
      <protection locked="0"/>
    </xf>
    <xf numFmtId="0" fontId="6" fillId="0" borderId="27" xfId="0" applyFont="1" applyFill="1" applyBorder="1" applyAlignment="1" applyProtection="1">
      <alignment horizontal="left" vertical="center" wrapText="1"/>
      <protection locked="0"/>
    </xf>
    <xf numFmtId="0" fontId="6" fillId="0" borderId="29" xfId="0" applyFont="1" applyFill="1" applyBorder="1" applyAlignment="1" applyProtection="1">
      <alignment horizontal="left" vertical="center" wrapText="1"/>
      <protection locked="0"/>
    </xf>
    <xf numFmtId="0" fontId="12" fillId="2" borderId="8" xfId="5" applyFill="1" applyBorder="1" applyAlignment="1" applyProtection="1">
      <alignment horizontal="center" vertical="center"/>
    </xf>
    <xf numFmtId="49" fontId="0" fillId="8" borderId="27" xfId="0" applyNumberFormat="1" applyFill="1" applyBorder="1" applyAlignment="1" applyProtection="1">
      <alignment horizontal="center" vertical="center"/>
      <protection locked="0"/>
    </xf>
    <xf numFmtId="49" fontId="6" fillId="0" borderId="27" xfId="0" applyNumberFormat="1" applyFont="1" applyFill="1" applyBorder="1" applyAlignment="1" applyProtection="1">
      <alignment horizontal="right" vertical="center" wrapText="1"/>
      <protection locked="0"/>
    </xf>
    <xf numFmtId="49" fontId="6" fillId="0" borderId="28" xfId="0" applyNumberFormat="1" applyFont="1" applyFill="1" applyBorder="1" applyAlignment="1" applyProtection="1">
      <alignment horizontal="right" vertical="center" wrapText="1"/>
      <protection locked="0"/>
    </xf>
    <xf numFmtId="41" fontId="6" fillId="0" borderId="28" xfId="0" applyNumberFormat="1" applyFont="1" applyFill="1" applyBorder="1" applyAlignment="1" applyProtection="1">
      <alignment horizontal="right" vertical="center" wrapText="1"/>
      <protection locked="0"/>
    </xf>
    <xf numFmtId="41" fontId="6" fillId="0" borderId="29" xfId="0" applyNumberFormat="1" applyFont="1" applyFill="1" applyBorder="1" applyAlignment="1" applyProtection="1">
      <alignment horizontal="right" vertical="center" wrapText="1"/>
      <protection locked="0"/>
    </xf>
    <xf numFmtId="41" fontId="0" fillId="8" borderId="28" xfId="6" applyNumberFormat="1" applyFont="1" applyFill="1" applyBorder="1" applyAlignment="1" applyProtection="1">
      <alignment vertical="center"/>
      <protection locked="0"/>
    </xf>
    <xf numFmtId="49" fontId="0" fillId="8" borderId="29" xfId="0" applyNumberFormat="1" applyFill="1" applyBorder="1" applyAlignment="1" applyProtection="1">
      <alignment horizontal="center" vertical="center"/>
      <protection locked="0"/>
    </xf>
    <xf numFmtId="49" fontId="6" fillId="8" borderId="27" xfId="0" applyNumberFormat="1" applyFont="1" applyFill="1" applyBorder="1" applyAlignment="1" applyProtection="1">
      <alignment horizontal="right" vertical="center" wrapText="1"/>
      <protection locked="0"/>
    </xf>
    <xf numFmtId="49" fontId="6" fillId="8" borderId="28" xfId="0" applyNumberFormat="1" applyFont="1" applyFill="1" applyBorder="1" applyAlignment="1" applyProtection="1">
      <alignment horizontal="right" vertical="center" wrapText="1"/>
      <protection locked="0"/>
    </xf>
    <xf numFmtId="41" fontId="6" fillId="8" borderId="28" xfId="0" applyNumberFormat="1" applyFont="1" applyFill="1" applyBorder="1" applyAlignment="1" applyProtection="1">
      <alignment horizontal="right" vertical="center" wrapText="1"/>
      <protection locked="0"/>
    </xf>
    <xf numFmtId="41" fontId="6" fillId="8" borderId="29" xfId="0" applyNumberFormat="1" applyFont="1" applyFill="1" applyBorder="1" applyAlignment="1" applyProtection="1">
      <alignment horizontal="right" vertical="center" wrapText="1"/>
      <protection locked="0"/>
    </xf>
    <xf numFmtId="41" fontId="1" fillId="8" borderId="3" xfId="0" applyNumberFormat="1" applyFont="1" applyFill="1" applyBorder="1" applyAlignment="1" applyProtection="1">
      <alignment horizontal="right" wrapText="1"/>
      <protection locked="0"/>
    </xf>
    <xf numFmtId="0" fontId="0" fillId="0" borderId="0" xfId="0" applyProtection="1"/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41" fontId="0" fillId="8" borderId="30" xfId="4" applyNumberFormat="1" applyFont="1" applyFill="1" applyBorder="1" applyProtection="1">
      <protection hidden="1"/>
    </xf>
    <xf numFmtId="41" fontId="0" fillId="8" borderId="30" xfId="0" applyNumberFormat="1" applyFill="1" applyBorder="1" applyProtection="1">
      <protection hidden="1"/>
    </xf>
    <xf numFmtId="0" fontId="7" fillId="2" borderId="2" xfId="0" applyFont="1" applyFill="1" applyBorder="1" applyAlignment="1" applyProtection="1">
      <alignment horizontal="center" vertical="center"/>
      <protection hidden="1"/>
    </xf>
    <xf numFmtId="0" fontId="7" fillId="2" borderId="1" xfId="0" applyFont="1" applyFill="1" applyBorder="1" applyAlignment="1" applyProtection="1">
      <alignment horizontal="center" vertical="center"/>
      <protection hidden="1"/>
    </xf>
    <xf numFmtId="0" fontId="7" fillId="2" borderId="3" xfId="0" applyFont="1" applyFill="1" applyBorder="1" applyAlignment="1" applyProtection="1">
      <alignment horizontal="center" vertical="center"/>
      <protection hidden="1"/>
    </xf>
    <xf numFmtId="0" fontId="0" fillId="3" borderId="8" xfId="0" applyFont="1" applyFill="1" applyBorder="1" applyAlignment="1" applyProtection="1">
      <alignment horizontal="center" vertical="center"/>
      <protection hidden="1"/>
    </xf>
    <xf numFmtId="0" fontId="4" fillId="2" borderId="2" xfId="0" applyFont="1" applyFill="1" applyBorder="1" applyAlignment="1" applyProtection="1">
      <alignment horizontal="center" vertical="center" wrapText="1"/>
      <protection hidden="1"/>
    </xf>
    <xf numFmtId="0" fontId="4" fillId="2" borderId="1" xfId="0" applyFont="1" applyFill="1" applyBorder="1" applyAlignment="1" applyProtection="1">
      <alignment horizontal="center" vertical="center" wrapText="1"/>
      <protection hidden="1"/>
    </xf>
    <xf numFmtId="0" fontId="4" fillId="2" borderId="3" xfId="0" applyFont="1" applyFill="1" applyBorder="1" applyAlignment="1" applyProtection="1">
      <alignment horizontal="center" vertical="center" wrapTex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4" fillId="2" borderId="10" xfId="0" applyFont="1" applyFill="1" applyBorder="1" applyAlignment="1" applyProtection="1">
      <alignment horizontal="center" vertical="center" wrapText="1"/>
      <protection hidden="1"/>
    </xf>
    <xf numFmtId="0" fontId="1" fillId="4" borderId="2" xfId="0" applyFont="1" applyFill="1" applyBorder="1" applyAlignment="1" applyProtection="1">
      <alignment horizontal="center" wrapText="1"/>
      <protection hidden="1"/>
    </xf>
    <xf numFmtId="0" fontId="1" fillId="4" borderId="1" xfId="0" applyFont="1" applyFill="1" applyBorder="1" applyAlignment="1" applyProtection="1">
      <alignment horizontal="center" wrapText="1"/>
      <protection hidden="1"/>
    </xf>
    <xf numFmtId="0" fontId="1" fillId="4" borderId="3" xfId="0" applyFont="1" applyFill="1" applyBorder="1" applyAlignment="1" applyProtection="1">
      <alignment horizontal="center" wrapText="1"/>
      <protection hidden="1"/>
    </xf>
    <xf numFmtId="41" fontId="1" fillId="4" borderId="2" xfId="0" applyNumberFormat="1" applyFont="1" applyFill="1" applyBorder="1" applyAlignment="1" applyProtection="1">
      <alignment horizontal="center" wrapText="1"/>
      <protection hidden="1"/>
    </xf>
    <xf numFmtId="41" fontId="1" fillId="4" borderId="1" xfId="0" applyNumberFormat="1" applyFont="1" applyFill="1" applyBorder="1" applyAlignment="1" applyProtection="1">
      <alignment horizontal="center" wrapText="1"/>
      <protection hidden="1"/>
    </xf>
    <xf numFmtId="41" fontId="1" fillId="4" borderId="3" xfId="0" applyNumberFormat="1" applyFont="1" applyFill="1" applyBorder="1" applyAlignment="1" applyProtection="1">
      <alignment horizontal="center" wrapText="1"/>
      <protection hidden="1"/>
    </xf>
    <xf numFmtId="41" fontId="1" fillId="4" borderId="2" xfId="0" applyNumberFormat="1" applyFont="1" applyFill="1" applyBorder="1" applyAlignment="1" applyProtection="1">
      <alignment horizontal="left" wrapText="1" indent="1"/>
      <protection hidden="1"/>
    </xf>
    <xf numFmtId="41" fontId="1" fillId="4" borderId="1" xfId="0" applyNumberFormat="1" applyFont="1" applyFill="1" applyBorder="1" applyAlignment="1" applyProtection="1">
      <alignment horizontal="left" wrapText="1" indent="1"/>
      <protection hidden="1"/>
    </xf>
    <xf numFmtId="41" fontId="1" fillId="4" borderId="3" xfId="0" applyNumberFormat="1" applyFont="1" applyFill="1" applyBorder="1" applyAlignment="1" applyProtection="1">
      <alignment horizontal="left" wrapText="1" indent="1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2" borderId="6" xfId="0" applyFont="1" applyFill="1" applyBorder="1" applyAlignment="1" applyProtection="1">
      <alignment horizontal="center" vertical="center" wrapText="1"/>
      <protection hidden="1"/>
    </xf>
    <xf numFmtId="0" fontId="4" fillId="2" borderId="7" xfId="0" applyFont="1" applyFill="1" applyBorder="1" applyAlignment="1" applyProtection="1">
      <alignment horizontal="center" vertical="center" wrapText="1"/>
      <protection hidden="1"/>
    </xf>
    <xf numFmtId="41" fontId="1" fillId="4" borderId="5" xfId="0" applyNumberFormat="1" applyFont="1" applyFill="1" applyBorder="1" applyAlignment="1" applyProtection="1">
      <alignment horizontal="center" wrapText="1"/>
      <protection hidden="1"/>
    </xf>
    <xf numFmtId="41" fontId="1" fillId="4" borderId="6" xfId="0" applyNumberFormat="1" applyFont="1" applyFill="1" applyBorder="1" applyAlignment="1" applyProtection="1">
      <alignment horizontal="center" wrapText="1"/>
      <protection hidden="1"/>
    </xf>
    <xf numFmtId="41" fontId="1" fillId="4" borderId="7" xfId="0" applyNumberFormat="1" applyFont="1" applyFill="1" applyBorder="1" applyAlignment="1" applyProtection="1">
      <alignment horizontal="center" wrapText="1"/>
      <protection hidden="1"/>
    </xf>
    <xf numFmtId="41" fontId="0" fillId="6" borderId="4" xfId="0" applyNumberFormat="1" applyFill="1" applyBorder="1" applyAlignment="1">
      <alignment horizontal="center"/>
    </xf>
    <xf numFmtId="41" fontId="0" fillId="6" borderId="9" xfId="0" applyNumberFormat="1" applyFill="1" applyBorder="1" applyAlignment="1">
      <alignment horizontal="center"/>
    </xf>
    <xf numFmtId="41" fontId="0" fillId="6" borderId="10" xfId="0" applyNumberFormat="1" applyFill="1" applyBorder="1" applyAlignment="1">
      <alignment horizontal="center"/>
    </xf>
    <xf numFmtId="41" fontId="1" fillId="6" borderId="11" xfId="0" applyNumberFormat="1" applyFont="1" applyFill="1" applyBorder="1" applyAlignment="1" applyProtection="1">
      <alignment horizontal="center" wrapText="1"/>
      <protection hidden="1"/>
    </xf>
    <xf numFmtId="41" fontId="1" fillId="6" borderId="13" xfId="0" applyNumberFormat="1" applyFont="1" applyFill="1" applyBorder="1" applyAlignment="1" applyProtection="1">
      <alignment horizontal="center" wrapText="1"/>
      <protection hidden="1"/>
    </xf>
    <xf numFmtId="41" fontId="1" fillId="4" borderId="2" xfId="0" applyNumberFormat="1" applyFont="1" applyFill="1" applyBorder="1" applyAlignment="1" applyProtection="1">
      <alignment horizontal="center" wrapText="1"/>
      <protection locked="0"/>
    </xf>
    <xf numFmtId="41" fontId="1" fillId="4" borderId="1" xfId="0" applyNumberFormat="1" applyFont="1" applyFill="1" applyBorder="1" applyAlignment="1" applyProtection="1">
      <alignment horizontal="center" wrapText="1"/>
      <protection locked="0"/>
    </xf>
    <xf numFmtId="41" fontId="1" fillId="4" borderId="3" xfId="0" applyNumberFormat="1" applyFont="1" applyFill="1" applyBorder="1" applyAlignment="1" applyProtection="1">
      <alignment horizontal="center" wrapText="1"/>
      <protection locked="0"/>
    </xf>
    <xf numFmtId="41" fontId="0" fillId="5" borderId="4" xfId="0" applyNumberFormat="1" applyFill="1" applyBorder="1" applyAlignment="1" applyProtection="1">
      <alignment horizontal="center"/>
      <protection hidden="1"/>
    </xf>
    <xf numFmtId="41" fontId="0" fillId="5" borderId="10" xfId="0" applyNumberFormat="1" applyFill="1" applyBorder="1" applyAlignment="1" applyProtection="1">
      <alignment horizontal="center"/>
      <protection hidden="1"/>
    </xf>
    <xf numFmtId="41" fontId="4" fillId="3" borderId="2" xfId="2" applyNumberFormat="1" applyFont="1" applyFill="1" applyBorder="1" applyAlignment="1" applyProtection="1">
      <alignment horizontal="right" wrapText="1"/>
      <protection hidden="1"/>
    </xf>
    <xf numFmtId="41" fontId="4" fillId="3" borderId="1" xfId="2" applyNumberFormat="1" applyFont="1" applyFill="1" applyBorder="1" applyAlignment="1" applyProtection="1">
      <alignment horizontal="right" wrapText="1"/>
      <protection hidden="1"/>
    </xf>
    <xf numFmtId="41" fontId="4" fillId="3" borderId="3" xfId="2" applyNumberFormat="1" applyFont="1" applyFill="1" applyBorder="1" applyAlignment="1" applyProtection="1">
      <alignment horizontal="right" wrapText="1"/>
      <protection hidden="1"/>
    </xf>
    <xf numFmtId="41" fontId="1" fillId="0" borderId="2" xfId="0" applyNumberFormat="1" applyFont="1" applyBorder="1" applyAlignment="1" applyProtection="1">
      <alignment horizontal="right" wrapText="1"/>
      <protection hidden="1"/>
    </xf>
    <xf numFmtId="41" fontId="1" fillId="0" borderId="1" xfId="0" applyNumberFormat="1" applyFont="1" applyBorder="1" applyAlignment="1" applyProtection="1">
      <alignment horizontal="right" wrapText="1"/>
      <protection hidden="1"/>
    </xf>
    <xf numFmtId="41" fontId="1" fillId="0" borderId="3" xfId="0" applyNumberFormat="1" applyFont="1" applyBorder="1" applyAlignment="1" applyProtection="1">
      <alignment horizontal="right" wrapText="1"/>
      <protection hidden="1"/>
    </xf>
    <xf numFmtId="41" fontId="0" fillId="0" borderId="2" xfId="0" applyNumberFormat="1" applyBorder="1" applyAlignment="1" applyProtection="1">
      <alignment horizontal="right" wrapText="1"/>
      <protection hidden="1"/>
    </xf>
    <xf numFmtId="41" fontId="0" fillId="0" borderId="1" xfId="0" applyNumberFormat="1" applyBorder="1" applyAlignment="1" applyProtection="1">
      <alignment horizontal="right" wrapText="1"/>
      <protection hidden="1"/>
    </xf>
    <xf numFmtId="41" fontId="0" fillId="0" borderId="3" xfId="0" applyNumberFormat="1" applyBorder="1" applyAlignment="1" applyProtection="1">
      <alignment horizontal="right" wrapText="1"/>
      <protection hidden="1"/>
    </xf>
    <xf numFmtId="41" fontId="0" fillId="5" borderId="9" xfId="0" applyNumberFormat="1" applyFill="1" applyBorder="1" applyAlignment="1" applyProtection="1">
      <alignment horizontal="center"/>
      <protection hidden="1"/>
    </xf>
    <xf numFmtId="41" fontId="1" fillId="4" borderId="2" xfId="0" applyNumberFormat="1" applyFont="1" applyFill="1" applyBorder="1" applyAlignment="1" applyProtection="1">
      <alignment horizontal="center" vertical="center" wrapText="1"/>
      <protection hidden="1"/>
    </xf>
    <xf numFmtId="41" fontId="1" fillId="13" borderId="1" xfId="0" applyNumberFormat="1" applyFont="1" applyFill="1" applyBorder="1" applyAlignment="1" applyProtection="1">
      <alignment horizontal="center" vertical="center" wrapText="1"/>
      <protection hidden="1"/>
    </xf>
    <xf numFmtId="41" fontId="1" fillId="13" borderId="3" xfId="0" applyNumberFormat="1" applyFont="1" applyFill="1" applyBorder="1" applyAlignment="1" applyProtection="1">
      <alignment horizontal="center" vertical="center" wrapText="1"/>
      <protection hidden="1"/>
    </xf>
    <xf numFmtId="0" fontId="9" fillId="10" borderId="0" xfId="0" applyFont="1" applyFill="1" applyAlignment="1">
      <alignment horizontal="center"/>
    </xf>
  </cellXfs>
  <cellStyles count="7">
    <cellStyle name="Comma" xfId="4" builtinId="3"/>
    <cellStyle name="Currency" xfId="6" builtinId="4"/>
    <cellStyle name="Hyperlink" xfId="5" builtinId="8"/>
    <cellStyle name="Normal" xfId="0" builtinId="0"/>
    <cellStyle name="Normal 10" xfId="2"/>
    <cellStyle name="Normal 2" xfId="3"/>
    <cellStyle name="Normal_Sheet2" xfId="1"/>
  </cellStyles>
  <dxfs count="6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CE9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</xdr:colOff>
      <xdr:row>6</xdr:row>
      <xdr:rowOff>137834</xdr:rowOff>
    </xdr:from>
    <xdr:to>
      <xdr:col>3</xdr:col>
      <xdr:colOff>1307727</xdr:colOff>
      <xdr:row>6</xdr:row>
      <xdr:rowOff>384363</xdr:rowOff>
    </xdr:to>
    <xdr:sp macro="[0]!home" textlink="">
      <xdr:nvSpPr>
        <xdr:cNvPr id="2" name="Rectangle 1"/>
        <xdr:cNvSpPr/>
      </xdr:nvSpPr>
      <xdr:spPr>
        <a:xfrm>
          <a:off x="647700" y="1280834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3</xdr:col>
      <xdr:colOff>1404108</xdr:colOff>
      <xdr:row>6</xdr:row>
      <xdr:rowOff>133350</xdr:rowOff>
    </xdr:from>
    <xdr:to>
      <xdr:col>4</xdr:col>
      <xdr:colOff>282960</xdr:colOff>
      <xdr:row>6</xdr:row>
      <xdr:rowOff>379879</xdr:rowOff>
    </xdr:to>
    <xdr:sp macro="[0]!'ValidateGeneralInfo 1'" textlink="">
      <xdr:nvSpPr>
        <xdr:cNvPr id="3" name="Rectangle 2"/>
        <xdr:cNvSpPr/>
      </xdr:nvSpPr>
      <xdr:spPr>
        <a:xfrm>
          <a:off x="1842258" y="127635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8</xdr:row>
      <xdr:rowOff>114300</xdr:rowOff>
    </xdr:from>
    <xdr:to>
      <xdr:col>6</xdr:col>
      <xdr:colOff>1402977</xdr:colOff>
      <xdr:row>8</xdr:row>
      <xdr:rowOff>365313</xdr:rowOff>
    </xdr:to>
    <xdr:sp macro="[0]!home" textlink="">
      <xdr:nvSpPr>
        <xdr:cNvPr id="2" name="Rectangle 1"/>
        <xdr:cNvSpPr/>
      </xdr:nvSpPr>
      <xdr:spPr>
        <a:xfrm>
          <a:off x="533400" y="11430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1499358</xdr:colOff>
      <xdr:row>8</xdr:row>
      <xdr:rowOff>114300</xdr:rowOff>
    </xdr:from>
    <xdr:to>
      <xdr:col>6</xdr:col>
      <xdr:colOff>2597535</xdr:colOff>
      <xdr:row>8</xdr:row>
      <xdr:rowOff>360829</xdr:rowOff>
    </xdr:to>
    <xdr:sp macro="[0]!'ValidateStatementOfNetPosition 1'" textlink="">
      <xdr:nvSpPr>
        <xdr:cNvPr id="3" name="Rectangle 2"/>
        <xdr:cNvSpPr/>
      </xdr:nvSpPr>
      <xdr:spPr>
        <a:xfrm>
          <a:off x="1727958" y="11430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134472</xdr:colOff>
      <xdr:row>8</xdr:row>
      <xdr:rowOff>145678</xdr:rowOff>
    </xdr:from>
    <xdr:to>
      <xdr:col>6</xdr:col>
      <xdr:colOff>1232649</xdr:colOff>
      <xdr:row>8</xdr:row>
      <xdr:rowOff>396691</xdr:rowOff>
    </xdr:to>
    <xdr:sp macro="[0]!home" textlink="">
      <xdr:nvSpPr>
        <xdr:cNvPr id="2" name="Rectangle 1"/>
        <xdr:cNvSpPr/>
      </xdr:nvSpPr>
      <xdr:spPr>
        <a:xfrm>
          <a:off x="381001" y="145678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1329030</xdr:colOff>
      <xdr:row>8</xdr:row>
      <xdr:rowOff>145678</xdr:rowOff>
    </xdr:from>
    <xdr:to>
      <xdr:col>6</xdr:col>
      <xdr:colOff>2427207</xdr:colOff>
      <xdr:row>8</xdr:row>
      <xdr:rowOff>392207</xdr:rowOff>
    </xdr:to>
    <xdr:sp macro="[0]!'ValidateStatementOfActivities 1'" textlink="">
      <xdr:nvSpPr>
        <xdr:cNvPr id="3" name="Rectangle 2"/>
        <xdr:cNvSpPr/>
      </xdr:nvSpPr>
      <xdr:spPr>
        <a:xfrm>
          <a:off x="1575559" y="145678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8</xdr:row>
      <xdr:rowOff>142875</xdr:rowOff>
    </xdr:from>
    <xdr:to>
      <xdr:col>6</xdr:col>
      <xdr:colOff>1441077</xdr:colOff>
      <xdr:row>8</xdr:row>
      <xdr:rowOff>393888</xdr:rowOff>
    </xdr:to>
    <xdr:sp macro="[0]!home" textlink="">
      <xdr:nvSpPr>
        <xdr:cNvPr id="2" name="Rectangle 1"/>
        <xdr:cNvSpPr/>
      </xdr:nvSpPr>
      <xdr:spPr>
        <a:xfrm>
          <a:off x="628650" y="142875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1537458</xdr:colOff>
      <xdr:row>8</xdr:row>
      <xdr:rowOff>142875</xdr:rowOff>
    </xdr:from>
    <xdr:to>
      <xdr:col>7</xdr:col>
      <xdr:colOff>302010</xdr:colOff>
      <xdr:row>8</xdr:row>
      <xdr:rowOff>389404</xdr:rowOff>
    </xdr:to>
    <xdr:sp macro="[0]!'ValidateGovernmentalFundBalanceSheet 1'" textlink="">
      <xdr:nvSpPr>
        <xdr:cNvPr id="3" name="Rectangle 2"/>
        <xdr:cNvSpPr/>
      </xdr:nvSpPr>
      <xdr:spPr>
        <a:xfrm>
          <a:off x="1823208" y="142875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8</xdr:row>
      <xdr:rowOff>133350</xdr:rowOff>
    </xdr:from>
    <xdr:to>
      <xdr:col>6</xdr:col>
      <xdr:colOff>1431552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191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1527933</xdr:colOff>
      <xdr:row>8</xdr:row>
      <xdr:rowOff>133350</xdr:rowOff>
    </xdr:from>
    <xdr:to>
      <xdr:col>7</xdr:col>
      <xdr:colOff>242058</xdr:colOff>
      <xdr:row>8</xdr:row>
      <xdr:rowOff>379879</xdr:rowOff>
    </xdr:to>
    <xdr:sp macro="[0]!'ValidateGovFundStOfRevExpBal 1'" textlink="">
      <xdr:nvSpPr>
        <xdr:cNvPr id="3" name="Rectangle 2"/>
        <xdr:cNvSpPr/>
      </xdr:nvSpPr>
      <xdr:spPr>
        <a:xfrm>
          <a:off x="18136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8</xdr:row>
      <xdr:rowOff>133350</xdr:rowOff>
    </xdr:from>
    <xdr:to>
      <xdr:col>6</xdr:col>
      <xdr:colOff>1412502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0007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1508883</xdr:colOff>
      <xdr:row>8</xdr:row>
      <xdr:rowOff>133350</xdr:rowOff>
    </xdr:from>
    <xdr:to>
      <xdr:col>6</xdr:col>
      <xdr:colOff>2604258</xdr:colOff>
      <xdr:row>8</xdr:row>
      <xdr:rowOff>379879</xdr:rowOff>
    </xdr:to>
    <xdr:sp macro="[0]!'ValidatePropFundStOfNetPosition 1'" textlink="">
      <xdr:nvSpPr>
        <xdr:cNvPr id="3" name="Rectangle 2"/>
        <xdr:cNvSpPr/>
      </xdr:nvSpPr>
      <xdr:spPr>
        <a:xfrm>
          <a:off x="179463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8</xdr:row>
      <xdr:rowOff>133350</xdr:rowOff>
    </xdr:from>
    <xdr:to>
      <xdr:col>6</xdr:col>
      <xdr:colOff>1412502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191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1508883</xdr:colOff>
      <xdr:row>8</xdr:row>
      <xdr:rowOff>133350</xdr:rowOff>
    </xdr:from>
    <xdr:to>
      <xdr:col>6</xdr:col>
      <xdr:colOff>2604258</xdr:colOff>
      <xdr:row>8</xdr:row>
      <xdr:rowOff>379879</xdr:rowOff>
    </xdr:to>
    <xdr:sp macro="[0]!'ValidatePropFundStRevExpBal 1'" textlink="">
      <xdr:nvSpPr>
        <xdr:cNvPr id="3" name="Rectangle 2"/>
        <xdr:cNvSpPr/>
      </xdr:nvSpPr>
      <xdr:spPr>
        <a:xfrm>
          <a:off x="18136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447675</xdr:colOff>
      <xdr:row>8</xdr:row>
      <xdr:rowOff>133350</xdr:rowOff>
    </xdr:from>
    <xdr:to>
      <xdr:col>6</xdr:col>
      <xdr:colOff>1545852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7334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1642233</xdr:colOff>
      <xdr:row>8</xdr:row>
      <xdr:rowOff>133350</xdr:rowOff>
    </xdr:from>
    <xdr:to>
      <xdr:col>6</xdr:col>
      <xdr:colOff>2737608</xdr:colOff>
      <xdr:row>8</xdr:row>
      <xdr:rowOff>379879</xdr:rowOff>
    </xdr:to>
    <xdr:sp macro="[0]!'ValidateStOfCashFlowPropFunds 1'" textlink="">
      <xdr:nvSpPr>
        <xdr:cNvPr id="3" name="Rectangle 2"/>
        <xdr:cNvSpPr/>
      </xdr:nvSpPr>
      <xdr:spPr>
        <a:xfrm>
          <a:off x="19279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7</xdr:row>
      <xdr:rowOff>114300</xdr:rowOff>
    </xdr:from>
    <xdr:to>
      <xdr:col>4</xdr:col>
      <xdr:colOff>1364877</xdr:colOff>
      <xdr:row>7</xdr:row>
      <xdr:rowOff>365313</xdr:rowOff>
    </xdr:to>
    <xdr:sp macro="[0]!home" textlink="">
      <xdr:nvSpPr>
        <xdr:cNvPr id="2" name="Rectangle 1"/>
        <xdr:cNvSpPr/>
      </xdr:nvSpPr>
      <xdr:spPr>
        <a:xfrm>
          <a:off x="628650" y="11430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4</xdr:col>
      <xdr:colOff>1461258</xdr:colOff>
      <xdr:row>7</xdr:row>
      <xdr:rowOff>114300</xdr:rowOff>
    </xdr:from>
    <xdr:to>
      <xdr:col>4</xdr:col>
      <xdr:colOff>2559435</xdr:colOff>
      <xdr:row>7</xdr:row>
      <xdr:rowOff>360829</xdr:rowOff>
    </xdr:to>
    <xdr:sp macro="[0]!'ValidateOPEB 1'" textlink="">
      <xdr:nvSpPr>
        <xdr:cNvPr id="3" name="Rectangle 2"/>
        <xdr:cNvSpPr/>
      </xdr:nvSpPr>
      <xdr:spPr>
        <a:xfrm>
          <a:off x="1823208" y="11430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238125</xdr:colOff>
      <xdr:row>9</xdr:row>
      <xdr:rowOff>66675</xdr:rowOff>
    </xdr:from>
    <xdr:to>
      <xdr:col>6</xdr:col>
      <xdr:colOff>1971675</xdr:colOff>
      <xdr:row>9</xdr:row>
      <xdr:rowOff>390525</xdr:rowOff>
    </xdr:to>
    <xdr:sp macro="[0]!AddRetiredEmployee" textlink="">
      <xdr:nvSpPr>
        <xdr:cNvPr id="2" name="Rounded Rectangle 1"/>
        <xdr:cNvSpPr/>
      </xdr:nvSpPr>
      <xdr:spPr>
        <a:xfrm>
          <a:off x="5019675" y="952500"/>
          <a:ext cx="1733550" cy="32385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Add Pension</a:t>
          </a:r>
          <a:r>
            <a:rPr lang="en-US" sz="1100" baseline="0"/>
            <a:t> Plan</a:t>
          </a:r>
          <a:r>
            <a:rPr lang="en-US" sz="1100"/>
            <a:t>  </a:t>
          </a:r>
        </a:p>
      </xdr:txBody>
    </xdr:sp>
    <xdr:clientData/>
  </xdr:twoCellAnchor>
  <xdr:twoCellAnchor>
    <xdr:from>
      <xdr:col>5</xdr:col>
      <xdr:colOff>38100</xdr:colOff>
      <xdr:row>7</xdr:row>
      <xdr:rowOff>104775</xdr:rowOff>
    </xdr:from>
    <xdr:to>
      <xdr:col>5</xdr:col>
      <xdr:colOff>1136277</xdr:colOff>
      <xdr:row>7</xdr:row>
      <xdr:rowOff>355788</xdr:rowOff>
    </xdr:to>
    <xdr:sp macro="[0]!home" textlink="">
      <xdr:nvSpPr>
        <xdr:cNvPr id="3" name="Rectangle 2"/>
        <xdr:cNvSpPr/>
      </xdr:nvSpPr>
      <xdr:spPr>
        <a:xfrm>
          <a:off x="876300" y="104775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5</xdr:col>
      <xdr:colOff>1232658</xdr:colOff>
      <xdr:row>7</xdr:row>
      <xdr:rowOff>104775</xdr:rowOff>
    </xdr:from>
    <xdr:to>
      <xdr:col>5</xdr:col>
      <xdr:colOff>2330835</xdr:colOff>
      <xdr:row>7</xdr:row>
      <xdr:rowOff>351304</xdr:rowOff>
    </xdr:to>
    <xdr:sp macro="[0]!'ValidatePension 1'" textlink="">
      <xdr:nvSpPr>
        <xdr:cNvPr id="4" name="Rectangle 3"/>
        <xdr:cNvSpPr/>
      </xdr:nvSpPr>
      <xdr:spPr>
        <a:xfrm>
          <a:off x="2070858" y="104775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C22"/>
  <sheetViews>
    <sheetView showGridLines="0" topLeftCell="B7" workbookViewId="0">
      <selection activeCell="B7" sqref="B7"/>
    </sheetView>
  </sheetViews>
  <sheetFormatPr defaultColWidth="0" defaultRowHeight="15" zeroHeight="1"/>
  <cols>
    <col min="1" max="1" width="9.140625" hidden="1" customWidth="1"/>
    <col min="2" max="2" width="3.42578125" customWidth="1"/>
    <col min="3" max="3" width="3.140625" customWidth="1"/>
    <col min="4" max="4" width="33.28515625" customWidth="1"/>
    <col min="5" max="5" width="37.28515625" customWidth="1"/>
    <col min="6" max="6" width="8.42578125" customWidth="1"/>
    <col min="7" max="7" width="8.28515625" customWidth="1"/>
    <col min="8" max="8" width="3.140625" customWidth="1"/>
    <col min="9" max="9" width="2.85546875" customWidth="1"/>
    <col min="10" max="10" width="0.85546875" hidden="1"/>
    <col min="11" max="41" width="2.7109375" hidden="1"/>
    <col min="42" max="16383" width="0.85546875" hidden="1"/>
    <col min="16384" max="16384" width="2.5703125" hidden="1"/>
  </cols>
  <sheetData>
    <row r="1" spans="4:41" hidden="1">
      <c r="K1" s="49" t="s">
        <v>245</v>
      </c>
      <c r="L1" s="49" t="s">
        <v>249</v>
      </c>
      <c r="M1" s="49" t="s">
        <v>248</v>
      </c>
      <c r="N1" s="49" t="s">
        <v>246</v>
      </c>
      <c r="O1" s="49" t="s">
        <v>250</v>
      </c>
      <c r="P1" s="49" t="s">
        <v>251</v>
      </c>
      <c r="Q1" s="49" t="s">
        <v>252</v>
      </c>
      <c r="R1" s="49" t="s">
        <v>253</v>
      </c>
      <c r="S1" s="49" t="s">
        <v>254</v>
      </c>
      <c r="T1">
        <v>10</v>
      </c>
      <c r="U1">
        <v>11</v>
      </c>
      <c r="V1">
        <v>12</v>
      </c>
      <c r="W1">
        <v>13</v>
      </c>
      <c r="X1">
        <v>14</v>
      </c>
      <c r="Y1">
        <v>15</v>
      </c>
      <c r="Z1">
        <v>16</v>
      </c>
      <c r="AA1">
        <v>17</v>
      </c>
      <c r="AB1">
        <v>18</v>
      </c>
      <c r="AC1">
        <v>19</v>
      </c>
      <c r="AD1">
        <v>20</v>
      </c>
      <c r="AE1">
        <v>21</v>
      </c>
      <c r="AF1">
        <v>22</v>
      </c>
      <c r="AG1">
        <v>23</v>
      </c>
      <c r="AH1">
        <v>24</v>
      </c>
      <c r="AI1">
        <v>25</v>
      </c>
      <c r="AJ1">
        <v>26</v>
      </c>
      <c r="AK1">
        <v>27</v>
      </c>
      <c r="AL1">
        <v>28</v>
      </c>
      <c r="AM1">
        <v>29</v>
      </c>
      <c r="AN1">
        <v>30</v>
      </c>
      <c r="AO1">
        <v>31</v>
      </c>
    </row>
    <row r="2" spans="4:41" hidden="1">
      <c r="K2">
        <v>2015</v>
      </c>
      <c r="L2">
        <v>2016</v>
      </c>
      <c r="M2">
        <v>2017</v>
      </c>
      <c r="N2">
        <v>2018</v>
      </c>
      <c r="O2">
        <v>2019</v>
      </c>
      <c r="P2">
        <v>2020</v>
      </c>
      <c r="Q2">
        <v>2021</v>
      </c>
      <c r="R2">
        <v>2022</v>
      </c>
      <c r="S2">
        <v>2023</v>
      </c>
      <c r="T2">
        <v>2024</v>
      </c>
      <c r="U2">
        <v>2025</v>
      </c>
      <c r="V2">
        <v>2026</v>
      </c>
      <c r="W2">
        <v>2027</v>
      </c>
      <c r="X2">
        <v>2028</v>
      </c>
      <c r="Y2">
        <v>2029</v>
      </c>
      <c r="Z2">
        <v>2030</v>
      </c>
      <c r="AA2">
        <v>2031</v>
      </c>
      <c r="AB2">
        <v>2032</v>
      </c>
      <c r="AC2">
        <v>2033</v>
      </c>
      <c r="AD2">
        <v>2034</v>
      </c>
      <c r="AE2">
        <v>2035</v>
      </c>
      <c r="AF2">
        <v>2036</v>
      </c>
      <c r="AG2">
        <v>2037</v>
      </c>
      <c r="AH2">
        <v>2038</v>
      </c>
      <c r="AI2">
        <v>2039</v>
      </c>
      <c r="AJ2">
        <v>2040</v>
      </c>
      <c r="AK2">
        <v>2041</v>
      </c>
      <c r="AL2">
        <v>2042</v>
      </c>
      <c r="AM2">
        <v>2043</v>
      </c>
      <c r="AN2">
        <v>2044</v>
      </c>
      <c r="AO2">
        <v>2045</v>
      </c>
    </row>
    <row r="3" spans="4:41" hidden="1"/>
    <row r="4" spans="4:41" hidden="1"/>
    <row r="5" spans="4:41" hidden="1"/>
    <row r="6" spans="4:41" hidden="1"/>
    <row r="7" spans="4:41" ht="39.950000000000003" customHeight="1"/>
    <row r="8" spans="4:41" ht="35.1" customHeight="1">
      <c r="D8" s="195" t="s">
        <v>243</v>
      </c>
      <c r="E8" s="196"/>
      <c r="F8" s="196"/>
      <c r="G8" s="197"/>
    </row>
    <row r="9" spans="4:41" ht="20.100000000000001" customHeight="1">
      <c r="D9" s="46" t="s">
        <v>458</v>
      </c>
      <c r="E9" s="42" t="s">
        <v>656</v>
      </c>
      <c r="F9" s="198"/>
      <c r="G9" s="198"/>
    </row>
    <row r="10" spans="4:41" ht="20.100000000000001" customHeight="1">
      <c r="D10" s="47" t="s">
        <v>244</v>
      </c>
      <c r="E10" s="43">
        <v>10</v>
      </c>
      <c r="F10" s="45" t="s">
        <v>245</v>
      </c>
      <c r="G10" s="45">
        <v>2016</v>
      </c>
    </row>
    <row r="11" spans="4:41" ht="20.100000000000001" customHeight="1">
      <c r="D11" s="48" t="s">
        <v>247</v>
      </c>
      <c r="E11" s="44" t="s">
        <v>254</v>
      </c>
      <c r="F11" s="44">
        <v>30</v>
      </c>
      <c r="G11" s="44">
        <v>2017</v>
      </c>
    </row>
    <row r="12" spans="4:41"/>
    <row r="22" spans="8:13" hidden="1">
      <c r="H22" s="17"/>
      <c r="I22" s="17"/>
      <c r="J22" s="17"/>
      <c r="K22" s="17">
        <v>0</v>
      </c>
      <c r="L22" s="17"/>
      <c r="M22" s="17"/>
    </row>
  </sheetData>
  <sheetProtection algorithmName="SHA-512" hashValue="8La4qcovLigXbEkCsRhOJfzcdc5yyJmF+lqIMfaIgOelB0VXOs0V8Elj7PjR/bS2UEk+nmBKIoQjAv6QgucRFw==" saltValue="NDbhazTf3yb2j2SVciRiag==" spinCount="100000" sheet="1" objects="1" scenarios="1"/>
  <mergeCells count="2">
    <mergeCell ref="D8:G8"/>
    <mergeCell ref="F9:G9"/>
  </mergeCells>
  <dataValidations count="3">
    <dataValidation type="list" allowBlank="1" showInputMessage="1" showErrorMessage="1" sqref="F10:F11">
      <formula1>$K$1:$AO$1</formula1>
    </dataValidation>
    <dataValidation type="list" allowBlank="1" showInputMessage="1" showErrorMessage="1" sqref="E10:E11">
      <formula1>$K$1:$V$1</formula1>
    </dataValidation>
    <dataValidation type="list" allowBlank="1" showInputMessage="1" showErrorMessage="1" sqref="G10:G11">
      <formula1>$K$2:$O$2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1:M70"/>
  <sheetViews>
    <sheetView showGridLines="0" topLeftCell="E9" workbookViewId="0">
      <selection activeCell="H12" sqref="H12"/>
    </sheetView>
  </sheetViews>
  <sheetFormatPr defaultColWidth="0" defaultRowHeight="15" zeroHeight="1"/>
  <cols>
    <col min="1" max="4" width="9.140625" hidden="1" customWidth="1"/>
    <col min="5" max="6" width="1.7109375" customWidth="1"/>
    <col min="7" max="7" width="40.28515625" style="9" bestFit="1" customWidth="1"/>
    <col min="8" max="8" width="26.7109375" style="9" customWidth="1"/>
    <col min="9" max="9" width="26.85546875" style="9" customWidth="1"/>
    <col min="10" max="10" width="26.140625" style="9" customWidth="1"/>
    <col min="11" max="11" width="7.42578125" customWidth="1"/>
    <col min="12" max="12" width="2" customWidth="1"/>
    <col min="13" max="16384" width="9.140625" hidden="1"/>
  </cols>
  <sheetData>
    <row r="1" spans="7:12" hidden="1">
      <c r="G1"/>
      <c r="H1"/>
      <c r="I1"/>
      <c r="J1"/>
    </row>
    <row r="2" spans="7:12" hidden="1">
      <c r="G2"/>
      <c r="H2"/>
      <c r="I2"/>
      <c r="J2"/>
    </row>
    <row r="3" spans="7:12" hidden="1">
      <c r="G3"/>
      <c r="H3"/>
      <c r="I3"/>
      <c r="J3"/>
    </row>
    <row r="4" spans="7:12" hidden="1">
      <c r="G4"/>
      <c r="H4"/>
      <c r="I4"/>
      <c r="J4"/>
    </row>
    <row r="5" spans="7:12" hidden="1">
      <c r="G5"/>
      <c r="H5"/>
      <c r="I5"/>
      <c r="J5"/>
    </row>
    <row r="6" spans="7:12" hidden="1">
      <c r="G6"/>
      <c r="H6"/>
      <c r="I6"/>
      <c r="J6"/>
    </row>
    <row r="7" spans="7:12" hidden="1">
      <c r="G7"/>
      <c r="H7"/>
      <c r="I7"/>
      <c r="J7"/>
    </row>
    <row r="8" spans="7:12" hidden="1">
      <c r="G8"/>
      <c r="H8"/>
      <c r="I8"/>
      <c r="J8"/>
    </row>
    <row r="9" spans="7:12" s="9" customFormat="1" ht="39.950000000000003" customHeight="1"/>
    <row r="10" spans="7:12" ht="24.95" customHeight="1">
      <c r="G10" s="199" t="s">
        <v>236</v>
      </c>
      <c r="H10" s="200"/>
      <c r="I10" s="201"/>
      <c r="J10" s="134" t="s">
        <v>657</v>
      </c>
      <c r="K10" s="1"/>
      <c r="L10" s="1"/>
    </row>
    <row r="11" spans="7:12" ht="24.75" customHeight="1">
      <c r="G11" s="202" t="s">
        <v>3</v>
      </c>
      <c r="H11" s="199" t="s">
        <v>0</v>
      </c>
      <c r="I11" s="200"/>
      <c r="J11" s="201"/>
    </row>
    <row r="12" spans="7:12" ht="30">
      <c r="G12" s="203"/>
      <c r="H12" s="192" t="s">
        <v>1</v>
      </c>
      <c r="I12" s="192" t="s">
        <v>105</v>
      </c>
      <c r="J12" s="191" t="s">
        <v>2</v>
      </c>
    </row>
    <row r="13" spans="7:12">
      <c r="G13" s="4" t="s">
        <v>4</v>
      </c>
      <c r="H13" s="204"/>
      <c r="I13" s="205"/>
      <c r="J13" s="206"/>
    </row>
    <row r="14" spans="7:12">
      <c r="G14" s="14" t="s">
        <v>5</v>
      </c>
      <c r="H14" s="53">
        <v>51396489</v>
      </c>
      <c r="I14" s="53">
        <v>23937470</v>
      </c>
      <c r="J14" s="193">
        <f t="shared" ref="J14:J33" si="0">IF(COUNT(H14:I14),SUM(H14:I14),"")</f>
        <v>75333959</v>
      </c>
    </row>
    <row r="15" spans="7:12">
      <c r="G15" s="5" t="s">
        <v>6</v>
      </c>
      <c r="H15" s="207"/>
      <c r="I15" s="208"/>
      <c r="J15" s="209"/>
    </row>
    <row r="16" spans="7:12" ht="15.75">
      <c r="G16" s="19" t="s">
        <v>7</v>
      </c>
      <c r="H16" s="54">
        <v>1747750</v>
      </c>
      <c r="I16" s="54">
        <v>0</v>
      </c>
      <c r="J16" s="193">
        <f t="shared" si="0"/>
        <v>1747750</v>
      </c>
    </row>
    <row r="17" spans="7:10" ht="15.75">
      <c r="G17" s="20" t="s">
        <v>8</v>
      </c>
      <c r="H17" s="55">
        <v>381208</v>
      </c>
      <c r="I17" s="55">
        <v>422911</v>
      </c>
      <c r="J17" s="193">
        <f t="shared" si="0"/>
        <v>804119</v>
      </c>
    </row>
    <row r="18" spans="7:10" ht="15.75">
      <c r="G18" s="20" t="s">
        <v>9</v>
      </c>
      <c r="H18" s="55">
        <v>1379284</v>
      </c>
      <c r="I18" s="55">
        <v>5443035</v>
      </c>
      <c r="J18" s="193">
        <f t="shared" si="0"/>
        <v>6822319</v>
      </c>
    </row>
    <row r="19" spans="7:10" ht="15.75">
      <c r="G19" s="21" t="s">
        <v>10</v>
      </c>
      <c r="H19" s="56">
        <v>2397833</v>
      </c>
      <c r="I19" s="56">
        <v>0</v>
      </c>
      <c r="J19" s="193">
        <f t="shared" si="0"/>
        <v>2397833</v>
      </c>
    </row>
    <row r="20" spans="7:10">
      <c r="G20" s="3" t="s">
        <v>11</v>
      </c>
      <c r="H20" s="52">
        <f>IF(COUNT(H16:H19),SUM(H16:H19),"")</f>
        <v>5906075</v>
      </c>
      <c r="I20" s="52">
        <f t="shared" ref="I20" si="1">IF(COUNT(I16:I19),SUM(I16:I19),"")</f>
        <v>5865946</v>
      </c>
      <c r="J20" s="52">
        <f t="shared" ref="J20:J39" si="2">IF(COUNT(H20:I20),SUM(H20:I20),"")</f>
        <v>11772021</v>
      </c>
    </row>
    <row r="21" spans="7:10">
      <c r="G21" s="22" t="s">
        <v>525</v>
      </c>
      <c r="H21" s="54"/>
      <c r="I21" s="55"/>
      <c r="J21" s="193" t="str">
        <f t="shared" si="0"/>
        <v/>
      </c>
    </row>
    <row r="22" spans="7:10">
      <c r="G22" s="137" t="s">
        <v>526</v>
      </c>
      <c r="H22" s="138"/>
      <c r="I22" s="55"/>
      <c r="J22" s="193" t="str">
        <f t="shared" si="0"/>
        <v/>
      </c>
    </row>
    <row r="23" spans="7:10">
      <c r="G23" s="137" t="s">
        <v>527</v>
      </c>
      <c r="H23" s="138"/>
      <c r="I23" s="55"/>
      <c r="J23" s="193" t="str">
        <f t="shared" si="0"/>
        <v/>
      </c>
    </row>
    <row r="24" spans="7:10">
      <c r="G24" s="137" t="s">
        <v>528</v>
      </c>
      <c r="H24" s="138"/>
      <c r="I24" s="55"/>
      <c r="J24" s="193" t="str">
        <f t="shared" si="0"/>
        <v/>
      </c>
    </row>
    <row r="25" spans="7:10">
      <c r="G25" s="137" t="s">
        <v>12</v>
      </c>
      <c r="H25" s="138">
        <v>663133</v>
      </c>
      <c r="I25" s="55">
        <v>652494</v>
      </c>
      <c r="J25" s="193">
        <f t="shared" si="0"/>
        <v>1315627</v>
      </c>
    </row>
    <row r="26" spans="7:10">
      <c r="G26" s="23" t="s">
        <v>13</v>
      </c>
      <c r="H26" s="55">
        <v>0</v>
      </c>
      <c r="I26" s="55">
        <v>8923251</v>
      </c>
      <c r="J26" s="193">
        <f t="shared" si="0"/>
        <v>8923251</v>
      </c>
    </row>
    <row r="27" spans="7:10">
      <c r="G27" s="23" t="s">
        <v>14</v>
      </c>
      <c r="H27" s="55">
        <v>1029060</v>
      </c>
      <c r="I27" s="55">
        <v>0</v>
      </c>
      <c r="J27" s="193">
        <f t="shared" si="0"/>
        <v>1029060</v>
      </c>
    </row>
    <row r="28" spans="7:10">
      <c r="G28" s="24" t="s">
        <v>15</v>
      </c>
      <c r="H28" s="56">
        <v>12137699</v>
      </c>
      <c r="I28" s="55">
        <v>0</v>
      </c>
      <c r="J28" s="193">
        <f t="shared" si="0"/>
        <v>12137699</v>
      </c>
    </row>
    <row r="29" spans="7:10">
      <c r="G29" s="5" t="s">
        <v>16</v>
      </c>
      <c r="H29" s="207"/>
      <c r="I29" s="208"/>
      <c r="J29" s="209"/>
    </row>
    <row r="30" spans="7:10" ht="15.75">
      <c r="G30" s="19" t="s">
        <v>17</v>
      </c>
      <c r="H30" s="54">
        <v>27350542</v>
      </c>
      <c r="I30" s="55">
        <v>2824038</v>
      </c>
      <c r="J30" s="193">
        <f t="shared" si="0"/>
        <v>30174580</v>
      </c>
    </row>
    <row r="31" spans="7:10" ht="15.75">
      <c r="G31" s="20" t="s">
        <v>18</v>
      </c>
      <c r="H31" s="55">
        <v>85372960</v>
      </c>
      <c r="I31" s="55">
        <v>35168882</v>
      </c>
      <c r="J31" s="193">
        <f t="shared" si="0"/>
        <v>120541842</v>
      </c>
    </row>
    <row r="32" spans="7:10" ht="15.75">
      <c r="G32" s="20" t="s">
        <v>19</v>
      </c>
      <c r="H32" s="55">
        <v>13118717</v>
      </c>
      <c r="I32" s="55">
        <v>9340173</v>
      </c>
      <c r="J32" s="193">
        <f t="shared" si="0"/>
        <v>22458890</v>
      </c>
    </row>
    <row r="33" spans="7:13" ht="15.75">
      <c r="G33" s="21" t="s">
        <v>20</v>
      </c>
      <c r="H33" s="56">
        <v>10375576</v>
      </c>
      <c r="I33" s="55">
        <v>76050472</v>
      </c>
      <c r="J33" s="193">
        <f t="shared" si="0"/>
        <v>86426048</v>
      </c>
    </row>
    <row r="34" spans="7:13">
      <c r="G34" s="3" t="s">
        <v>22</v>
      </c>
      <c r="H34" s="61">
        <f>IF(COUNT(H30:H33),SUM(H30:H33),"")</f>
        <v>136217795</v>
      </c>
      <c r="I34" s="61">
        <f t="shared" ref="I34:J34" si="3">IF(COUNT(I30:I33),SUM(I30:I33),"")</f>
        <v>123383565</v>
      </c>
      <c r="J34" s="61">
        <f t="shared" si="3"/>
        <v>259601360</v>
      </c>
    </row>
    <row r="35" spans="7:13">
      <c r="G35" s="3" t="s">
        <v>21</v>
      </c>
      <c r="H35" s="61">
        <f>IF(COUNT(H14,H20,H21:H28,H34),SUM(H14,H20,H21:H28,H34),"")</f>
        <v>207350251</v>
      </c>
      <c r="I35" s="61">
        <f>IF(COUNT(I14,I20,I21:I28,I34),SUM(I14,I20,I21:I28,I34),"")</f>
        <v>162762726</v>
      </c>
      <c r="J35" s="61">
        <f t="shared" si="2"/>
        <v>370112977</v>
      </c>
    </row>
    <row r="36" spans="7:13">
      <c r="G36" s="4" t="s">
        <v>23</v>
      </c>
      <c r="H36" s="207"/>
      <c r="I36" s="208"/>
      <c r="J36" s="209"/>
    </row>
    <row r="37" spans="7:13" ht="15.75">
      <c r="G37" s="19" t="s">
        <v>475</v>
      </c>
      <c r="H37" s="54">
        <v>4647952</v>
      </c>
      <c r="I37" s="55">
        <v>0</v>
      </c>
      <c r="J37" s="193">
        <f t="shared" ref="J37:J38" si="4">IF(COUNT(H37:I37),SUM(H37:I37),"")</f>
        <v>4647952</v>
      </c>
    </row>
    <row r="38" spans="7:13" ht="15.75">
      <c r="G38" s="139" t="s">
        <v>24</v>
      </c>
      <c r="H38" s="58">
        <v>6911380</v>
      </c>
      <c r="I38" s="55">
        <v>0</v>
      </c>
      <c r="J38" s="193">
        <f t="shared" si="4"/>
        <v>6911380</v>
      </c>
    </row>
    <row r="39" spans="7:13" ht="15.75">
      <c r="G39" s="21" t="s">
        <v>529</v>
      </c>
      <c r="H39" s="56"/>
      <c r="I39" s="55"/>
      <c r="J39" s="57" t="str">
        <f t="shared" si="2"/>
        <v/>
      </c>
    </row>
    <row r="40" spans="7:13">
      <c r="G40" s="3" t="s">
        <v>25</v>
      </c>
      <c r="H40" s="61">
        <f>IF(COUNT(H37:H39),SUM(H37:H39),"")</f>
        <v>11559332</v>
      </c>
      <c r="I40" s="61">
        <f t="shared" ref="I40:J40" si="5">IF(COUNT(I37:I39),SUM(I37:I39),"")</f>
        <v>0</v>
      </c>
      <c r="J40" s="61">
        <f t="shared" si="5"/>
        <v>11559332</v>
      </c>
    </row>
    <row r="41" spans="7:13">
      <c r="G41" s="4" t="s">
        <v>26</v>
      </c>
      <c r="H41" s="207"/>
      <c r="I41" s="208"/>
      <c r="J41" s="209"/>
    </row>
    <row r="42" spans="7:13">
      <c r="G42" s="25" t="s">
        <v>27</v>
      </c>
      <c r="H42" s="54">
        <v>2125246</v>
      </c>
      <c r="I42" s="55">
        <v>10955460</v>
      </c>
      <c r="J42" s="193">
        <f t="shared" ref="J42:J49" si="6">IF(COUNT(H42:I42),SUM(H42:I42),"")</f>
        <v>13080706</v>
      </c>
    </row>
    <row r="43" spans="7:13">
      <c r="G43" s="26" t="s">
        <v>28</v>
      </c>
      <c r="H43" s="55">
        <v>1255466</v>
      </c>
      <c r="I43" s="55">
        <v>183144</v>
      </c>
      <c r="J43" s="193">
        <f t="shared" si="6"/>
        <v>1438610</v>
      </c>
    </row>
    <row r="44" spans="7:13">
      <c r="G44" s="26" t="s">
        <v>29</v>
      </c>
      <c r="H44" s="55">
        <v>446696</v>
      </c>
      <c r="I44" s="55">
        <v>427848</v>
      </c>
      <c r="J44" s="193">
        <f t="shared" si="6"/>
        <v>874544</v>
      </c>
    </row>
    <row r="45" spans="7:13">
      <c r="G45" s="27" t="s">
        <v>30</v>
      </c>
      <c r="H45" s="56">
        <v>6783230</v>
      </c>
      <c r="I45" s="55">
        <v>111979</v>
      </c>
      <c r="J45" s="193">
        <f t="shared" si="6"/>
        <v>6895209</v>
      </c>
    </row>
    <row r="46" spans="7:13">
      <c r="G46" s="5" t="s">
        <v>35</v>
      </c>
      <c r="H46" s="210"/>
      <c r="I46" s="211"/>
      <c r="J46" s="212"/>
    </row>
    <row r="47" spans="7:13">
      <c r="G47" s="32" t="s">
        <v>31</v>
      </c>
      <c r="H47" s="54">
        <v>5330183</v>
      </c>
      <c r="I47" s="55">
        <v>1454705</v>
      </c>
      <c r="J47" s="193">
        <f t="shared" si="6"/>
        <v>6784888</v>
      </c>
    </row>
    <row r="48" spans="7:13">
      <c r="G48" s="33" t="s">
        <v>32</v>
      </c>
      <c r="H48" s="55">
        <v>15687141</v>
      </c>
      <c r="I48" s="55">
        <v>24092545</v>
      </c>
      <c r="J48" s="193">
        <f t="shared" si="6"/>
        <v>39779686</v>
      </c>
      <c r="L48" s="17">
        <v>10</v>
      </c>
      <c r="M48" s="17">
        <v>11</v>
      </c>
    </row>
    <row r="49" spans="7:10">
      <c r="G49" s="34" t="s">
        <v>33</v>
      </c>
      <c r="H49" s="56">
        <v>39601614</v>
      </c>
      <c r="I49" s="55">
        <v>0</v>
      </c>
      <c r="J49" s="193">
        <f t="shared" si="6"/>
        <v>39601614</v>
      </c>
    </row>
    <row r="50" spans="7:10">
      <c r="G50" s="3" t="s">
        <v>34</v>
      </c>
      <c r="H50" s="61">
        <f>IF(COUNT(H47:H49),SUM(H47:H49),"")</f>
        <v>60618938</v>
      </c>
      <c r="I50" s="61">
        <f t="shared" ref="I50:J50" si="7">IF(COUNT(I47:I49),SUM(I47:I49),"")</f>
        <v>25547250</v>
      </c>
      <c r="J50" s="61">
        <f t="shared" si="7"/>
        <v>86166188</v>
      </c>
    </row>
    <row r="51" spans="7:10">
      <c r="G51" s="3" t="s">
        <v>36</v>
      </c>
      <c r="H51" s="61">
        <f>IF(COUNT(H42:H45,H50),SUM(H42:H45,H50),"")</f>
        <v>71229576</v>
      </c>
      <c r="I51" s="61">
        <f t="shared" ref="I51:J51" si="8">IF(COUNT(I42:I45,I50),SUM(I42:I45,I50),"")</f>
        <v>37225681</v>
      </c>
      <c r="J51" s="61">
        <f t="shared" si="8"/>
        <v>108455257</v>
      </c>
    </row>
    <row r="52" spans="7:10">
      <c r="G52" s="4" t="s">
        <v>37</v>
      </c>
      <c r="H52" s="210"/>
      <c r="I52" s="211"/>
      <c r="J52" s="212"/>
    </row>
    <row r="53" spans="7:10">
      <c r="G53" s="14" t="s">
        <v>38</v>
      </c>
      <c r="H53" s="58">
        <v>365151</v>
      </c>
      <c r="I53" s="55">
        <v>0</v>
      </c>
      <c r="J53" s="193">
        <f t="shared" ref="J53:J54" si="9">IF(COUNT(H53:I53),SUM(H53:I53),"")</f>
        <v>365151</v>
      </c>
    </row>
    <row r="54" spans="7:10">
      <c r="G54" s="31" t="s">
        <v>39</v>
      </c>
      <c r="H54" s="60">
        <v>1635327</v>
      </c>
      <c r="I54" s="55">
        <v>0</v>
      </c>
      <c r="J54" s="193">
        <f t="shared" si="9"/>
        <v>1635327</v>
      </c>
    </row>
    <row r="55" spans="7:10">
      <c r="G55" s="3" t="s">
        <v>40</v>
      </c>
      <c r="H55" s="61">
        <f>IF(COUNT(H53:H54),SUM(H53:H54),"")</f>
        <v>2000478</v>
      </c>
      <c r="I55" s="61">
        <f t="shared" ref="I55:J55" si="10">IF(COUNT(I53:I54),SUM(I53:I54),"")</f>
        <v>0</v>
      </c>
      <c r="J55" s="61">
        <f t="shared" si="10"/>
        <v>2000478</v>
      </c>
    </row>
    <row r="56" spans="7:10">
      <c r="G56" s="4" t="s">
        <v>41</v>
      </c>
      <c r="H56" s="210"/>
      <c r="I56" s="211"/>
      <c r="J56" s="212"/>
    </row>
    <row r="57" spans="7:10">
      <c r="G57" s="14" t="s">
        <v>42</v>
      </c>
      <c r="H57" s="58">
        <v>124368745</v>
      </c>
      <c r="I57" s="55">
        <v>99028748</v>
      </c>
      <c r="J57" s="193">
        <f t="shared" ref="J57:J65" si="11">IF(COUNT(H57:I57),SUM(H57:I57),"")</f>
        <v>223397493</v>
      </c>
    </row>
    <row r="58" spans="7:10">
      <c r="G58" s="5" t="s">
        <v>43</v>
      </c>
      <c r="H58" s="210"/>
      <c r="I58" s="211"/>
      <c r="J58" s="212"/>
    </row>
    <row r="59" spans="7:10">
      <c r="G59" s="28" t="s">
        <v>229</v>
      </c>
      <c r="H59" s="54">
        <v>0</v>
      </c>
      <c r="I59" s="55">
        <v>8991951</v>
      </c>
      <c r="J59" s="193">
        <f t="shared" si="11"/>
        <v>8991951</v>
      </c>
    </row>
    <row r="60" spans="7:10">
      <c r="G60" s="29" t="s">
        <v>44</v>
      </c>
      <c r="H60" s="55">
        <v>10099755</v>
      </c>
      <c r="I60" s="55">
        <v>0</v>
      </c>
      <c r="J60" s="193">
        <f t="shared" si="11"/>
        <v>10099755</v>
      </c>
    </row>
    <row r="61" spans="7:10">
      <c r="G61" s="29" t="s">
        <v>45</v>
      </c>
      <c r="H61" s="55">
        <v>14038810</v>
      </c>
      <c r="I61" s="55">
        <v>0</v>
      </c>
      <c r="J61" s="193">
        <f t="shared" si="11"/>
        <v>14038810</v>
      </c>
    </row>
    <row r="62" spans="7:10">
      <c r="G62" s="29" t="s">
        <v>46</v>
      </c>
      <c r="H62" s="55">
        <v>13761779</v>
      </c>
      <c r="I62" s="55">
        <v>0</v>
      </c>
      <c r="J62" s="193">
        <f t="shared" si="11"/>
        <v>13761779</v>
      </c>
    </row>
    <row r="63" spans="7:10">
      <c r="G63" s="140" t="s">
        <v>476</v>
      </c>
      <c r="H63" s="60">
        <v>3882851</v>
      </c>
      <c r="I63" s="55">
        <v>0</v>
      </c>
      <c r="J63" s="193">
        <f t="shared" si="11"/>
        <v>3882851</v>
      </c>
    </row>
    <row r="64" spans="7:10">
      <c r="G64" s="140" t="s">
        <v>93</v>
      </c>
      <c r="H64" s="60"/>
      <c r="I64" s="55"/>
      <c r="J64" s="193" t="str">
        <f t="shared" si="11"/>
        <v/>
      </c>
    </row>
    <row r="65" spans="7:10">
      <c r="G65" s="140" t="s">
        <v>530</v>
      </c>
      <c r="H65" s="60"/>
      <c r="I65" s="55"/>
      <c r="J65" s="193" t="str">
        <f t="shared" si="11"/>
        <v/>
      </c>
    </row>
    <row r="66" spans="7:10">
      <c r="G66" s="30" t="s">
        <v>58</v>
      </c>
      <c r="H66" s="56"/>
      <c r="I66" s="55"/>
      <c r="J66" s="193" t="str">
        <f>IF(COUNT(H66:I66),SUM(H66:I66),"")</f>
        <v/>
      </c>
    </row>
    <row r="67" spans="7:10">
      <c r="G67" s="3" t="s">
        <v>47</v>
      </c>
      <c r="H67" s="61">
        <f>IF(COUNT(H59:H66),SUM(H59:H66),"")</f>
        <v>41783195</v>
      </c>
      <c r="I67" s="61">
        <f>IF(COUNT(I59:I66),SUM(I59:I66),"")</f>
        <v>8991951</v>
      </c>
      <c r="J67" s="61">
        <f>IF(COUNT(J59:J66),SUM(J59:J66),"")</f>
        <v>50775146</v>
      </c>
    </row>
    <row r="68" spans="7:10">
      <c r="G68" s="15" t="s">
        <v>48</v>
      </c>
      <c r="H68" s="58">
        <v>-20472411</v>
      </c>
      <c r="I68" s="55">
        <v>17516346</v>
      </c>
      <c r="J68" s="59">
        <f>IF(COUNT(H68:I68),SUM(H68:I68),"")</f>
        <v>-2956065</v>
      </c>
    </row>
    <row r="69" spans="7:10">
      <c r="G69" s="3" t="s">
        <v>49</v>
      </c>
      <c r="H69" s="61">
        <f>IF(COUNT(H57,H67,H68),SUM(H57,H67,H68),"")</f>
        <v>145679529</v>
      </c>
      <c r="I69" s="61">
        <f>IF(COUNT(I57,I67,I68),SUM(I57,I67,I68),"")</f>
        <v>125537045</v>
      </c>
      <c r="J69" s="61">
        <f>IF(COUNT(J57,J67,J68),SUM(J57,J67,J68),"")</f>
        <v>271216574</v>
      </c>
    </row>
    <row r="70" spans="7:10"/>
  </sheetData>
  <sheetProtection algorithmName="SHA-512" hashValue="TQsStgvkmVmZjHXSE7Jo7Jz/eQTYv101s4c5cux8W0/fFrfXHrL4J/c+JnusaiYQ6QiOHwTbh8ypC44LqOK47A==" saltValue="SS+VVOCRRjaOLqySYkMVoA==" spinCount="100000" sheet="1" objects="1" scenarios="1"/>
  <mergeCells count="12">
    <mergeCell ref="H58:J58"/>
    <mergeCell ref="H29:J29"/>
    <mergeCell ref="H36:J36"/>
    <mergeCell ref="H41:J41"/>
    <mergeCell ref="H46:J46"/>
    <mergeCell ref="H52:J52"/>
    <mergeCell ref="H56:J56"/>
    <mergeCell ref="G10:I10"/>
    <mergeCell ref="G11:G12"/>
    <mergeCell ref="H13:J13"/>
    <mergeCell ref="H15:J15"/>
    <mergeCell ref="H11:J11"/>
  </mergeCells>
  <dataValidations count="1">
    <dataValidation type="whole" allowBlank="1" showInputMessage="1" showErrorMessage="1" sqref="H14:J69">
      <formula1>-1.11111111111111E+21</formula1>
      <formula2>1.11111111111111E+28</formula2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1:P52"/>
  <sheetViews>
    <sheetView showGridLines="0" topLeftCell="H9" zoomScale="90" zoomScaleNormal="90" workbookViewId="0">
      <selection activeCell="H11" sqref="H11:K11"/>
    </sheetView>
  </sheetViews>
  <sheetFormatPr defaultColWidth="0" defaultRowHeight="15" zeroHeight="1"/>
  <cols>
    <col min="1" max="4" width="9.140625" hidden="1" customWidth="1"/>
    <col min="5" max="5" width="1.7109375" customWidth="1"/>
    <col min="6" max="6" width="2" customWidth="1"/>
    <col min="7" max="7" width="42.140625" customWidth="1"/>
    <col min="8" max="8" width="14.140625" customWidth="1"/>
    <col min="9" max="9" width="21.5703125" customWidth="1"/>
    <col min="10" max="10" width="27" customWidth="1"/>
    <col min="11" max="11" width="35.5703125" bestFit="1" customWidth="1"/>
    <col min="12" max="12" width="19.140625" customWidth="1"/>
    <col min="13" max="13" width="19.42578125" bestFit="1" customWidth="1"/>
    <col min="14" max="14" width="26" customWidth="1"/>
    <col min="15" max="16" width="2.28515625" customWidth="1"/>
    <col min="17" max="16384" width="9.140625" hidden="1"/>
  </cols>
  <sheetData>
    <row r="1" spans="7:14" hidden="1"/>
    <row r="2" spans="7:14" hidden="1"/>
    <row r="3" spans="7:14" hidden="1"/>
    <row r="4" spans="7:14" hidden="1"/>
    <row r="5" spans="7:14" hidden="1"/>
    <row r="6" spans="7:14" hidden="1"/>
    <row r="7" spans="7:14" hidden="1"/>
    <row r="8" spans="7:14" hidden="1"/>
    <row r="9" spans="7:14" ht="39.950000000000003" customHeight="1"/>
    <row r="10" spans="7:14" ht="24.95" customHeight="1">
      <c r="G10" s="199" t="s">
        <v>237</v>
      </c>
      <c r="H10" s="200"/>
      <c r="I10" s="200"/>
      <c r="J10" s="200"/>
      <c r="K10" s="200"/>
      <c r="L10" s="200"/>
      <c r="M10" s="201"/>
      <c r="N10" s="135" t="s">
        <v>657</v>
      </c>
    </row>
    <row r="11" spans="7:14" ht="24" customHeight="1">
      <c r="G11" s="202" t="s">
        <v>210</v>
      </c>
      <c r="H11" s="213" t="s">
        <v>204</v>
      </c>
      <c r="I11" s="214"/>
      <c r="J11" s="214"/>
      <c r="K11" s="214"/>
      <c r="L11" s="213" t="s">
        <v>205</v>
      </c>
      <c r="M11" s="214"/>
      <c r="N11" s="215"/>
    </row>
    <row r="12" spans="7:14" ht="45">
      <c r="G12" s="203"/>
      <c r="H12" s="2" t="s">
        <v>206</v>
      </c>
      <c r="I12" s="2" t="s">
        <v>207</v>
      </c>
      <c r="J12" s="2" t="s">
        <v>208</v>
      </c>
      <c r="K12" s="2" t="s">
        <v>209</v>
      </c>
      <c r="L12" s="2" t="s">
        <v>234</v>
      </c>
      <c r="M12" s="2" t="s">
        <v>106</v>
      </c>
      <c r="N12" s="6" t="s">
        <v>211</v>
      </c>
    </row>
    <row r="13" spans="7:14" ht="20.100000000000001" customHeight="1">
      <c r="G13" s="5" t="s">
        <v>235</v>
      </c>
      <c r="H13" s="204"/>
      <c r="I13" s="205"/>
      <c r="J13" s="205"/>
      <c r="K13" s="205"/>
      <c r="L13" s="205"/>
      <c r="M13" s="205"/>
      <c r="N13" s="206"/>
    </row>
    <row r="14" spans="7:14">
      <c r="G14" s="35" t="s">
        <v>87</v>
      </c>
      <c r="H14" s="63">
        <v>7567336</v>
      </c>
      <c r="I14" s="63">
        <v>3171795</v>
      </c>
      <c r="J14" s="64">
        <v>289139</v>
      </c>
      <c r="K14" s="64">
        <v>0</v>
      </c>
      <c r="L14" s="99">
        <f>IF(COUNT(H14:K14),SUM(I14:K14)-SUM(H14),"")</f>
        <v>-4106402</v>
      </c>
      <c r="M14" s="222"/>
      <c r="N14" s="99">
        <f>IF(COUNT(L14),SUM(L14),"")</f>
        <v>-4106402</v>
      </c>
    </row>
    <row r="15" spans="7:14">
      <c r="G15" s="33" t="s">
        <v>88</v>
      </c>
      <c r="H15" s="64">
        <v>39662709</v>
      </c>
      <c r="I15" s="64">
        <v>9056839</v>
      </c>
      <c r="J15" s="64">
        <v>1444169</v>
      </c>
      <c r="K15" s="64">
        <v>0</v>
      </c>
      <c r="L15" s="101">
        <f t="shared" ref="L15:L21" si="0">IF(COUNT(H15:K15),SUM(I15:K15)-SUM(H15),"")</f>
        <v>-29161701</v>
      </c>
      <c r="M15" s="222"/>
      <c r="N15" s="101">
        <f>IF(COUNT(L15),SUM(L15),"")</f>
        <v>-29161701</v>
      </c>
    </row>
    <row r="16" spans="7:14">
      <c r="G16" s="33" t="s">
        <v>89</v>
      </c>
      <c r="H16" s="64">
        <v>8804690</v>
      </c>
      <c r="I16" s="64">
        <v>5869272</v>
      </c>
      <c r="J16" s="64">
        <v>0</v>
      </c>
      <c r="K16" s="64">
        <v>298983</v>
      </c>
      <c r="L16" s="101">
        <f t="shared" si="0"/>
        <v>-2636435</v>
      </c>
      <c r="M16" s="222"/>
      <c r="N16" s="101">
        <f t="shared" ref="N16:N21" si="1">IF(COUNT(L16),SUM(L16),"")</f>
        <v>-2636435</v>
      </c>
    </row>
    <row r="17" spans="7:14">
      <c r="G17" s="33" t="s">
        <v>45</v>
      </c>
      <c r="H17" s="64">
        <v>5510541</v>
      </c>
      <c r="I17" s="64">
        <v>2921342</v>
      </c>
      <c r="J17" s="64">
        <v>805607</v>
      </c>
      <c r="K17" s="64">
        <v>269070</v>
      </c>
      <c r="L17" s="101">
        <f t="shared" si="0"/>
        <v>-1514522</v>
      </c>
      <c r="M17" s="222"/>
      <c r="N17" s="101">
        <f t="shared" si="1"/>
        <v>-1514522</v>
      </c>
    </row>
    <row r="18" spans="7:14">
      <c r="G18" s="33" t="s">
        <v>90</v>
      </c>
      <c r="H18" s="64">
        <v>15912375</v>
      </c>
      <c r="I18" s="64">
        <v>4641734</v>
      </c>
      <c r="J18" s="64">
        <v>277655</v>
      </c>
      <c r="K18" s="64">
        <v>1019212</v>
      </c>
      <c r="L18" s="101">
        <f t="shared" si="0"/>
        <v>-9973774</v>
      </c>
      <c r="M18" s="222"/>
      <c r="N18" s="101">
        <f t="shared" si="1"/>
        <v>-9973774</v>
      </c>
    </row>
    <row r="19" spans="7:14">
      <c r="G19" s="33" t="s">
        <v>212</v>
      </c>
      <c r="H19" s="64">
        <v>298360</v>
      </c>
      <c r="I19" s="64">
        <v>0</v>
      </c>
      <c r="J19" s="64">
        <v>0</v>
      </c>
      <c r="K19" s="64">
        <v>0</v>
      </c>
      <c r="L19" s="101">
        <f t="shared" si="0"/>
        <v>-298360</v>
      </c>
      <c r="M19" s="222"/>
      <c r="N19" s="101">
        <f t="shared" si="1"/>
        <v>-298360</v>
      </c>
    </row>
    <row r="20" spans="7:14">
      <c r="G20" s="33" t="s">
        <v>531</v>
      </c>
      <c r="H20" s="64"/>
      <c r="I20" s="64"/>
      <c r="J20" s="64"/>
      <c r="K20" s="64"/>
      <c r="L20" s="101" t="str">
        <f t="shared" si="0"/>
        <v/>
      </c>
      <c r="M20" s="222"/>
      <c r="N20" s="101" t="str">
        <f t="shared" si="1"/>
        <v/>
      </c>
    </row>
    <row r="21" spans="7:14">
      <c r="G21" s="16" t="s">
        <v>532</v>
      </c>
      <c r="H21" s="64"/>
      <c r="I21" s="64"/>
      <c r="J21" s="64"/>
      <c r="K21" s="64"/>
      <c r="L21" s="103" t="str">
        <f t="shared" si="0"/>
        <v/>
      </c>
      <c r="M21" s="222"/>
      <c r="N21" s="103" t="str">
        <f t="shared" si="1"/>
        <v/>
      </c>
    </row>
    <row r="22" spans="7:14" ht="20.100000000000001" customHeight="1">
      <c r="G22" s="3" t="s">
        <v>213</v>
      </c>
      <c r="H22" s="71">
        <f>IF(COUNT(H14:H21),SUM(H14:H21),"")</f>
        <v>77756011</v>
      </c>
      <c r="I22" s="71">
        <f t="shared" ref="I22:N22" si="2">IF(COUNT(I14:I21),SUM(I14:I21),"")</f>
        <v>25660982</v>
      </c>
      <c r="J22" s="71">
        <f t="shared" si="2"/>
        <v>2816570</v>
      </c>
      <c r="K22" s="71">
        <f t="shared" si="2"/>
        <v>1587265</v>
      </c>
      <c r="L22" s="71">
        <f t="shared" si="2"/>
        <v>-47691194</v>
      </c>
      <c r="M22" s="223"/>
      <c r="N22" s="72">
        <f t="shared" si="2"/>
        <v>-47691194</v>
      </c>
    </row>
    <row r="23" spans="7:14" ht="20.100000000000001" customHeight="1">
      <c r="G23" s="5" t="s">
        <v>105</v>
      </c>
      <c r="H23" s="216"/>
      <c r="I23" s="217"/>
      <c r="J23" s="217"/>
      <c r="K23" s="217"/>
      <c r="L23" s="217"/>
      <c r="M23" s="217"/>
      <c r="N23" s="218"/>
    </row>
    <row r="24" spans="7:14">
      <c r="G24" s="32" t="s">
        <v>229</v>
      </c>
      <c r="H24" s="63">
        <v>19111555</v>
      </c>
      <c r="I24" s="63">
        <v>22630960</v>
      </c>
      <c r="J24" s="63">
        <v>0</v>
      </c>
      <c r="K24" s="63">
        <v>535320</v>
      </c>
      <c r="L24" s="219"/>
      <c r="M24" s="99">
        <f>+IF(COUNT(H24:K24),SUM(I24:K24)-SUM(H24),"")</f>
        <v>4054725</v>
      </c>
      <c r="N24" s="99">
        <f>IF(COUNT(M24),SUM(M24),"")</f>
        <v>4054725</v>
      </c>
    </row>
    <row r="25" spans="7:14">
      <c r="G25" s="33" t="s">
        <v>214</v>
      </c>
      <c r="H25" s="64">
        <v>10541666</v>
      </c>
      <c r="I25" s="64">
        <v>10773481</v>
      </c>
      <c r="J25" s="64">
        <v>60092</v>
      </c>
      <c r="K25" s="64">
        <v>0</v>
      </c>
      <c r="L25" s="220"/>
      <c r="M25" s="101">
        <f t="shared" ref="M25:M29" si="3">+IF(COUNT(H25:K25),SUM(I25:K25)-SUM(H25),"")</f>
        <v>291907</v>
      </c>
      <c r="N25" s="101">
        <f t="shared" ref="N25:N29" si="4">IF(COUNT(M25),SUM(M25),"")</f>
        <v>291907</v>
      </c>
    </row>
    <row r="26" spans="7:14">
      <c r="G26" s="141" t="s">
        <v>215</v>
      </c>
      <c r="H26" s="142">
        <v>1012156</v>
      </c>
      <c r="I26" s="142">
        <v>863114</v>
      </c>
      <c r="J26" s="142">
        <v>50</v>
      </c>
      <c r="K26" s="142">
        <v>0</v>
      </c>
      <c r="L26" s="220"/>
      <c r="M26" s="143">
        <f t="shared" si="3"/>
        <v>-148992</v>
      </c>
      <c r="N26" s="143">
        <f t="shared" si="4"/>
        <v>-148992</v>
      </c>
    </row>
    <row r="27" spans="7:14">
      <c r="G27" s="141" t="s">
        <v>533</v>
      </c>
      <c r="H27" s="142"/>
      <c r="I27" s="142"/>
      <c r="J27" s="142"/>
      <c r="K27" s="142"/>
      <c r="L27" s="220"/>
      <c r="M27" s="143" t="str">
        <f t="shared" si="3"/>
        <v/>
      </c>
      <c r="N27" s="143" t="str">
        <f t="shared" si="4"/>
        <v/>
      </c>
    </row>
    <row r="28" spans="7:14">
      <c r="G28" s="141" t="s">
        <v>534</v>
      </c>
      <c r="H28" s="142"/>
      <c r="I28" s="142"/>
      <c r="J28" s="142"/>
      <c r="K28" s="142"/>
      <c r="L28" s="220"/>
      <c r="M28" s="143" t="str">
        <f t="shared" si="3"/>
        <v/>
      </c>
      <c r="N28" s="143" t="str">
        <f t="shared" si="4"/>
        <v/>
      </c>
    </row>
    <row r="29" spans="7:14">
      <c r="G29" s="141" t="s">
        <v>535</v>
      </c>
      <c r="H29" s="142"/>
      <c r="I29" s="142"/>
      <c r="J29" s="142"/>
      <c r="K29" s="142"/>
      <c r="L29" s="220"/>
      <c r="M29" s="143" t="str">
        <f t="shared" si="3"/>
        <v/>
      </c>
      <c r="N29" s="143" t="str">
        <f t="shared" si="4"/>
        <v/>
      </c>
    </row>
    <row r="30" spans="7:14" ht="20.100000000000001" customHeight="1">
      <c r="G30" s="10" t="s">
        <v>106</v>
      </c>
      <c r="H30" s="71">
        <f>IF(COUNT(H24:H29),SUM(H24:H29),"")</f>
        <v>30665377</v>
      </c>
      <c r="I30" s="71">
        <f>IF(COUNT(I24:I29),SUM(I24:I29),"")</f>
        <v>34267555</v>
      </c>
      <c r="J30" s="71">
        <f>IF(COUNT(J24:J29),SUM(J24:J29),"")</f>
        <v>60142</v>
      </c>
      <c r="K30" s="71">
        <f>IF(COUNT(K24:K29),SUM(K24:K29),"")</f>
        <v>535320</v>
      </c>
      <c r="L30" s="221"/>
      <c r="M30" s="71">
        <f>IF(COUNT(M24:M29),SUM(M24:M29),"")</f>
        <v>4197640</v>
      </c>
      <c r="N30" s="71">
        <f>IF(COUNT(N24:N29),SUM(N24:N29),"")</f>
        <v>4197640</v>
      </c>
    </row>
    <row r="31" spans="7:14" ht="20.100000000000001" customHeight="1">
      <c r="G31" s="3" t="s">
        <v>216</v>
      </c>
      <c r="H31" s="71">
        <f>IF(COUNT(H22,H30),SUM(H22,H30),"")</f>
        <v>108421388</v>
      </c>
      <c r="I31" s="71">
        <f>IF(COUNT(I22,I30),SUM(I22,I30),"")</f>
        <v>59928537</v>
      </c>
      <c r="J31" s="71">
        <f>IF(COUNT(J22,J30),SUM(J22,J30),"")</f>
        <v>2876712</v>
      </c>
      <c r="K31" s="71">
        <f>IF(COUNT(K22,K30),SUM(K22,K30),"")</f>
        <v>2122585</v>
      </c>
      <c r="L31" s="71">
        <f>IF(COUNT(L22),SUM(L22),"")</f>
        <v>-47691194</v>
      </c>
      <c r="M31" s="71">
        <f>IF(COUNT(M30),SUM(M30),"")</f>
        <v>4197640</v>
      </c>
      <c r="N31" s="71">
        <f>IF(COUNT(N22,N30),SUM(N22,N30),"")</f>
        <v>-43493554</v>
      </c>
    </row>
    <row r="32" spans="7:14" ht="20.100000000000001" customHeight="1">
      <c r="H32" s="73"/>
      <c r="I32" s="73"/>
      <c r="J32" s="73"/>
      <c r="K32" s="74" t="s">
        <v>217</v>
      </c>
      <c r="L32" s="208"/>
      <c r="M32" s="208"/>
      <c r="N32" s="209"/>
    </row>
    <row r="33" spans="8:14">
      <c r="H33" s="73"/>
      <c r="I33" s="73"/>
      <c r="J33" s="73"/>
      <c r="K33" s="75" t="s">
        <v>218</v>
      </c>
      <c r="L33" s="76">
        <v>19325651</v>
      </c>
      <c r="M33" s="63">
        <v>0</v>
      </c>
      <c r="N33" s="65">
        <f t="shared" ref="N33:N45" si="5">IF(COUNT(L33:M33),SUM(L33:M33),"")</f>
        <v>19325651</v>
      </c>
    </row>
    <row r="34" spans="8:14">
      <c r="H34" s="73"/>
      <c r="I34" s="73"/>
      <c r="J34" s="73"/>
      <c r="K34" s="75" t="s">
        <v>219</v>
      </c>
      <c r="L34" s="77">
        <v>8382118</v>
      </c>
      <c r="M34" s="64">
        <v>0</v>
      </c>
      <c r="N34" s="65">
        <f t="shared" si="5"/>
        <v>8382118</v>
      </c>
    </row>
    <row r="35" spans="8:14">
      <c r="H35" s="73"/>
      <c r="I35" s="73"/>
      <c r="J35" s="73"/>
      <c r="K35" s="75" t="s">
        <v>220</v>
      </c>
      <c r="L35" s="77">
        <v>8065995</v>
      </c>
      <c r="M35" s="64">
        <v>0</v>
      </c>
      <c r="N35" s="65">
        <f t="shared" si="5"/>
        <v>8065995</v>
      </c>
    </row>
    <row r="36" spans="8:14">
      <c r="H36" s="73"/>
      <c r="I36" s="73"/>
      <c r="J36" s="73"/>
      <c r="K36" s="75" t="s">
        <v>221</v>
      </c>
      <c r="L36" s="77">
        <v>2914045</v>
      </c>
      <c r="M36" s="64">
        <v>0</v>
      </c>
      <c r="N36" s="65">
        <f t="shared" si="5"/>
        <v>2914045</v>
      </c>
    </row>
    <row r="37" spans="8:14">
      <c r="H37" s="73"/>
      <c r="I37" s="73"/>
      <c r="J37" s="73"/>
      <c r="K37" s="75" t="s">
        <v>222</v>
      </c>
      <c r="L37" s="77">
        <v>5747939</v>
      </c>
      <c r="M37" s="64">
        <v>0</v>
      </c>
      <c r="N37" s="65">
        <f t="shared" si="5"/>
        <v>5747939</v>
      </c>
    </row>
    <row r="38" spans="8:14">
      <c r="H38" s="73"/>
      <c r="I38" s="73"/>
      <c r="J38" s="73"/>
      <c r="K38" s="75" t="s">
        <v>223</v>
      </c>
      <c r="L38" s="77">
        <v>8168519</v>
      </c>
      <c r="M38" s="64">
        <v>0</v>
      </c>
      <c r="N38" s="65">
        <f t="shared" si="5"/>
        <v>8168519</v>
      </c>
    </row>
    <row r="39" spans="8:14">
      <c r="H39" s="73"/>
      <c r="I39" s="73"/>
      <c r="J39" s="73"/>
      <c r="K39" s="75" t="s">
        <v>83</v>
      </c>
      <c r="L39" s="77">
        <v>463111</v>
      </c>
      <c r="M39" s="64">
        <v>495636</v>
      </c>
      <c r="N39" s="65">
        <f t="shared" si="5"/>
        <v>958747</v>
      </c>
    </row>
    <row r="40" spans="8:14">
      <c r="H40" s="73"/>
      <c r="I40" s="73"/>
      <c r="J40" s="73"/>
      <c r="K40" s="75" t="s">
        <v>224</v>
      </c>
      <c r="L40" s="77">
        <v>972559</v>
      </c>
      <c r="M40" s="64">
        <v>427214</v>
      </c>
      <c r="N40" s="65">
        <f t="shared" si="5"/>
        <v>1399773</v>
      </c>
    </row>
    <row r="41" spans="8:14">
      <c r="H41" s="73"/>
      <c r="I41" s="73"/>
      <c r="J41" s="73"/>
      <c r="K41" s="75" t="s">
        <v>225</v>
      </c>
      <c r="L41" s="77">
        <v>45000</v>
      </c>
      <c r="M41" s="64">
        <v>-45000</v>
      </c>
      <c r="N41" s="65">
        <f t="shared" si="5"/>
        <v>0</v>
      </c>
    </row>
    <row r="42" spans="8:14">
      <c r="H42" s="73"/>
      <c r="I42" s="73"/>
      <c r="J42" s="73"/>
      <c r="K42" s="75" t="s">
        <v>536</v>
      </c>
      <c r="L42" s="77"/>
      <c r="M42" s="64"/>
      <c r="N42" s="65" t="str">
        <f t="shared" si="5"/>
        <v/>
      </c>
    </row>
    <row r="43" spans="8:14">
      <c r="H43" s="73"/>
      <c r="I43" s="73"/>
      <c r="J43" s="73"/>
      <c r="K43" s="75" t="s">
        <v>537</v>
      </c>
      <c r="L43" s="77"/>
      <c r="M43" s="64"/>
      <c r="N43" s="65" t="str">
        <f t="shared" si="5"/>
        <v/>
      </c>
    </row>
    <row r="44" spans="8:14">
      <c r="H44" s="73"/>
      <c r="I44" s="73"/>
      <c r="J44" s="73"/>
      <c r="K44" s="75" t="s">
        <v>538</v>
      </c>
      <c r="L44" s="77"/>
      <c r="M44" s="64"/>
      <c r="N44" s="65" t="str">
        <f t="shared" si="5"/>
        <v/>
      </c>
    </row>
    <row r="45" spans="8:14">
      <c r="H45" s="73"/>
      <c r="I45" s="73"/>
      <c r="J45" s="73"/>
      <c r="K45" s="75" t="s">
        <v>539</v>
      </c>
      <c r="L45" s="77"/>
      <c r="M45" s="64"/>
      <c r="N45" s="65" t="str">
        <f t="shared" si="5"/>
        <v/>
      </c>
    </row>
    <row r="46" spans="8:14" ht="20.100000000000001" customHeight="1">
      <c r="H46" s="73"/>
      <c r="I46" s="73"/>
      <c r="J46" s="73"/>
      <c r="K46" s="78" t="s">
        <v>226</v>
      </c>
      <c r="L46" s="79">
        <f>IF(COUNT(L33:L45),SUM(L33:L45),"")</f>
        <v>54084937</v>
      </c>
      <c r="M46" s="80">
        <f>IF(COUNT(M33:M45),SUM(M33:M45),"")</f>
        <v>877850</v>
      </c>
      <c r="N46" s="80">
        <f>IF(COUNT(N33:N45),SUM(N33:N45),"")</f>
        <v>54962787</v>
      </c>
    </row>
    <row r="47" spans="8:14" ht="20.100000000000001" customHeight="1">
      <c r="H47" s="73"/>
      <c r="I47" s="73"/>
      <c r="J47" s="73"/>
      <c r="K47" s="78" t="s">
        <v>165</v>
      </c>
      <c r="L47" s="80">
        <f>IF(COUNT(L31,L46),SUM(L31,L46),"")</f>
        <v>6393743</v>
      </c>
      <c r="M47" s="80">
        <f>IF(COUNT(M31,M46),SUM(M31,M46),"")</f>
        <v>5075490</v>
      </c>
      <c r="N47" s="80">
        <f>IF(COUNT(N31,N46),SUM(N31,N46),"")</f>
        <v>11469233</v>
      </c>
    </row>
    <row r="48" spans="8:14" ht="15" customHeight="1">
      <c r="H48" s="73"/>
      <c r="I48" s="73"/>
      <c r="J48" s="73"/>
      <c r="K48" s="75" t="s">
        <v>227</v>
      </c>
      <c r="L48" s="165">
        <v>139285786</v>
      </c>
      <c r="M48" s="165">
        <v>120461555</v>
      </c>
      <c r="N48" s="167">
        <f t="shared" ref="N48" si="6">IF(COUNT(L48:M48),SUM(L48:M48),"")</f>
        <v>259747341</v>
      </c>
    </row>
    <row r="49" spans="8:14" ht="20.100000000000001" customHeight="1">
      <c r="H49" s="73"/>
      <c r="I49" s="73"/>
      <c r="J49" s="73"/>
      <c r="K49" s="78" t="s">
        <v>228</v>
      </c>
      <c r="L49" s="80">
        <f>IF(COUNT(L47:L48),SUM(L47:L48),"")</f>
        <v>145679529</v>
      </c>
      <c r="M49" s="80">
        <f t="shared" ref="M49:N49" si="7">IF(COUNT(M47:M48),SUM(M47:M48),"")</f>
        <v>125537045</v>
      </c>
      <c r="N49" s="80">
        <f t="shared" si="7"/>
        <v>271216574</v>
      </c>
    </row>
    <row r="50" spans="8:14"/>
    <row r="51" spans="8:14" hidden="1"/>
    <row r="52" spans="8:14" hidden="1"/>
  </sheetData>
  <sheetProtection algorithmName="SHA-512" hashValue="TN6CoZh3hEBbi3bUXGeHk2a/T4R3r1tTBzW5rnnG2qsCK5OqR6yl71DsSpoFHVI8Ufsoq0fCVbb71ZlQp66ozg==" saltValue="vTnYb8otXKdxWGe/TnAgGw==" spinCount="100000" sheet="1" objects="1" scenarios="1"/>
  <mergeCells count="9">
    <mergeCell ref="G10:M10"/>
    <mergeCell ref="G11:G12"/>
    <mergeCell ref="L32:N32"/>
    <mergeCell ref="H11:K11"/>
    <mergeCell ref="L11:N11"/>
    <mergeCell ref="H23:N23"/>
    <mergeCell ref="H13:N13"/>
    <mergeCell ref="L24:L30"/>
    <mergeCell ref="M14:M22"/>
  </mergeCells>
  <dataValidations count="1">
    <dataValidation type="whole" allowBlank="1" showInputMessage="1" showErrorMessage="1" sqref="H14:N31 K33:N49">
      <formula1>-1.11111111111111E+29</formula1>
      <formula2>1.11111111111111E+35</formula2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Right="0"/>
  </sheetPr>
  <dimension ref="E1:T56"/>
  <sheetViews>
    <sheetView showGridLines="0" topLeftCell="E9" zoomScale="90" zoomScaleNormal="90" workbookViewId="0">
      <selection activeCell="G11" sqref="G11"/>
    </sheetView>
  </sheetViews>
  <sheetFormatPr defaultColWidth="0" defaultRowHeight="15" zeroHeight="1"/>
  <cols>
    <col min="1" max="4" width="9.140625" hidden="1" customWidth="1"/>
    <col min="5" max="5" width="2" customWidth="1"/>
    <col min="6" max="6" width="2.28515625" customWidth="1"/>
    <col min="7" max="7" width="35" style="17" customWidth="1"/>
    <col min="8" max="17" width="20.7109375" style="70" customWidth="1"/>
    <col min="18" max="18" width="19" style="70" bestFit="1" customWidth="1"/>
    <col min="19" max="19" width="2.7109375" customWidth="1"/>
    <col min="20" max="20" width="2" customWidth="1"/>
    <col min="21" max="16384" width="9.140625" hidden="1"/>
  </cols>
  <sheetData>
    <row r="1" spans="7:18" hidden="1"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7:18" hidden="1"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7:18" hidden="1"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7:18" hidden="1"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7:18" hidden="1"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7:18" hidden="1"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7:18" hidden="1"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7:18" hidden="1"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7:18" ht="39.950000000000003" customHeight="1"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7:18" ht="24.95" customHeight="1">
      <c r="G10" s="199" t="s">
        <v>238</v>
      </c>
      <c r="H10" s="200"/>
      <c r="I10" s="200"/>
      <c r="J10" s="200"/>
      <c r="K10" s="200"/>
      <c r="L10" s="200"/>
      <c r="M10" s="200"/>
      <c r="N10" s="200"/>
      <c r="O10" s="200"/>
      <c r="P10" s="200"/>
      <c r="Q10" s="201"/>
      <c r="R10" s="135" t="s">
        <v>657</v>
      </c>
    </row>
    <row r="11" spans="7:18" ht="44.25" customHeight="1">
      <c r="G11" s="8" t="s">
        <v>3</v>
      </c>
      <c r="H11" s="130" t="s">
        <v>50</v>
      </c>
      <c r="I11" s="130" t="s">
        <v>51</v>
      </c>
      <c r="J11" s="133" t="s">
        <v>658</v>
      </c>
      <c r="K11" s="133" t="s">
        <v>659</v>
      </c>
      <c r="L11" s="133" t="s">
        <v>660</v>
      </c>
      <c r="M11" s="133" t="s">
        <v>661</v>
      </c>
      <c r="N11" s="129"/>
      <c r="O11" s="129"/>
      <c r="P11" s="129"/>
      <c r="Q11" s="129"/>
      <c r="R11" s="130" t="s">
        <v>52</v>
      </c>
    </row>
    <row r="12" spans="7:18">
      <c r="G12" s="4" t="s">
        <v>4</v>
      </c>
      <c r="H12" s="126"/>
      <c r="I12" s="127"/>
      <c r="J12" s="127"/>
      <c r="K12" s="127"/>
      <c r="L12" s="127"/>
      <c r="M12" s="127"/>
      <c r="N12" s="127"/>
      <c r="O12" s="127"/>
      <c r="P12" s="127"/>
      <c r="Q12" s="127"/>
      <c r="R12" s="128"/>
    </row>
    <row r="13" spans="7:18">
      <c r="G13" s="25" t="s">
        <v>472</v>
      </c>
      <c r="H13" s="62">
        <v>12539000</v>
      </c>
      <c r="I13" s="63">
        <v>8675629</v>
      </c>
      <c r="J13" s="63">
        <v>584526</v>
      </c>
      <c r="K13" s="63">
        <v>13625</v>
      </c>
      <c r="L13" s="63">
        <v>0</v>
      </c>
      <c r="M13" s="63">
        <v>23988406</v>
      </c>
      <c r="N13" s="63"/>
      <c r="O13" s="63"/>
      <c r="P13" s="63"/>
      <c r="Q13" s="63"/>
      <c r="R13" s="68">
        <f>IF(COUNT(H13:Q13),SUM(H13:Q13),"")</f>
        <v>45801186</v>
      </c>
    </row>
    <row r="14" spans="7:18">
      <c r="G14" s="26" t="s">
        <v>474</v>
      </c>
      <c r="H14" s="64">
        <v>1747750</v>
      </c>
      <c r="I14" s="64">
        <v>0</v>
      </c>
      <c r="J14" s="64">
        <v>0</v>
      </c>
      <c r="K14" s="64">
        <v>0</v>
      </c>
      <c r="L14" s="64">
        <v>0</v>
      </c>
      <c r="M14" s="64">
        <v>0</v>
      </c>
      <c r="N14" s="64"/>
      <c r="O14" s="64"/>
      <c r="P14" s="64"/>
      <c r="Q14" s="64"/>
      <c r="R14" s="65">
        <f t="shared" ref="R14:R15" si="0">IF(COUNT(H14:Q14),SUM(H14:Q14),"")</f>
        <v>1747750</v>
      </c>
    </row>
    <row r="15" spans="7:18">
      <c r="G15" s="27" t="s">
        <v>53</v>
      </c>
      <c r="H15" s="66">
        <v>94616</v>
      </c>
      <c r="I15" s="66">
        <v>55509</v>
      </c>
      <c r="J15" s="66">
        <v>4496</v>
      </c>
      <c r="K15" s="66">
        <v>0</v>
      </c>
      <c r="L15" s="66">
        <v>0</v>
      </c>
      <c r="M15" s="66">
        <v>186743</v>
      </c>
      <c r="N15" s="66"/>
      <c r="O15" s="66"/>
      <c r="P15" s="66"/>
      <c r="Q15" s="66"/>
      <c r="R15" s="67">
        <f t="shared" si="0"/>
        <v>341364</v>
      </c>
    </row>
    <row r="16" spans="7:18">
      <c r="G16" s="5" t="s">
        <v>6</v>
      </c>
      <c r="H16" s="120"/>
      <c r="I16" s="121"/>
      <c r="J16" s="121"/>
      <c r="K16" s="121"/>
      <c r="L16" s="121"/>
      <c r="M16" s="121"/>
      <c r="N16" s="121"/>
      <c r="O16" s="121"/>
      <c r="P16" s="121"/>
      <c r="Q16" s="121"/>
      <c r="R16" s="122"/>
    </row>
    <row r="17" spans="7:18">
      <c r="G17" s="28" t="s">
        <v>54</v>
      </c>
      <c r="H17" s="63">
        <v>0</v>
      </c>
      <c r="I17" s="63">
        <v>0</v>
      </c>
      <c r="J17" s="63">
        <v>0</v>
      </c>
      <c r="K17" s="63">
        <v>0</v>
      </c>
      <c r="L17" s="63">
        <v>0</v>
      </c>
      <c r="M17" s="63">
        <v>530366</v>
      </c>
      <c r="N17" s="63"/>
      <c r="O17" s="63"/>
      <c r="P17" s="63"/>
      <c r="Q17" s="63"/>
      <c r="R17" s="68">
        <f t="shared" ref="R17:R22" si="1">IF(COUNT(H17:Q17),SUM(H17:Q17),"")</f>
        <v>530366</v>
      </c>
    </row>
    <row r="18" spans="7:18">
      <c r="G18" s="29" t="s">
        <v>55</v>
      </c>
      <c r="H18" s="64">
        <v>0</v>
      </c>
      <c r="I18" s="64">
        <v>0</v>
      </c>
      <c r="J18" s="64">
        <v>0</v>
      </c>
      <c r="K18" s="64">
        <v>0</v>
      </c>
      <c r="L18" s="64">
        <v>0</v>
      </c>
      <c r="M18" s="64">
        <v>445545</v>
      </c>
      <c r="N18" s="64"/>
      <c r="O18" s="64"/>
      <c r="P18" s="64"/>
      <c r="Q18" s="64"/>
      <c r="R18" s="65">
        <f t="shared" si="1"/>
        <v>445545</v>
      </c>
    </row>
    <row r="19" spans="7:18">
      <c r="G19" s="29" t="s">
        <v>56</v>
      </c>
      <c r="H19" s="64">
        <v>0</v>
      </c>
      <c r="I19" s="64">
        <v>0</v>
      </c>
      <c r="J19" s="64">
        <v>0</v>
      </c>
      <c r="K19" s="64">
        <v>0</v>
      </c>
      <c r="L19" s="64">
        <v>0</v>
      </c>
      <c r="M19" s="64">
        <v>14604</v>
      </c>
      <c r="N19" s="64"/>
      <c r="O19" s="64"/>
      <c r="P19" s="64"/>
      <c r="Q19" s="64"/>
      <c r="R19" s="65">
        <f t="shared" si="1"/>
        <v>14604</v>
      </c>
    </row>
    <row r="20" spans="7:18">
      <c r="G20" s="29" t="s">
        <v>57</v>
      </c>
      <c r="H20" s="64">
        <v>594607</v>
      </c>
      <c r="I20" s="64">
        <v>1237253</v>
      </c>
      <c r="J20" s="64">
        <v>0</v>
      </c>
      <c r="K20" s="64">
        <v>0</v>
      </c>
      <c r="L20" s="64">
        <v>0</v>
      </c>
      <c r="M20" s="64">
        <v>83396</v>
      </c>
      <c r="N20" s="64"/>
      <c r="O20" s="64"/>
      <c r="P20" s="64"/>
      <c r="Q20" s="64"/>
      <c r="R20" s="65">
        <f t="shared" si="1"/>
        <v>1915256</v>
      </c>
    </row>
    <row r="21" spans="7:18">
      <c r="G21" s="29" t="s">
        <v>663</v>
      </c>
      <c r="H21" s="64">
        <v>119512</v>
      </c>
      <c r="I21" s="64">
        <v>0</v>
      </c>
      <c r="J21" s="64">
        <v>0</v>
      </c>
      <c r="K21" s="64">
        <v>131271</v>
      </c>
      <c r="L21" s="64">
        <v>173811</v>
      </c>
      <c r="M21" s="64">
        <v>29300</v>
      </c>
      <c r="N21" s="64"/>
      <c r="O21" s="64"/>
      <c r="P21" s="64"/>
      <c r="Q21" s="64"/>
      <c r="R21" s="65">
        <f t="shared" si="1"/>
        <v>453894</v>
      </c>
    </row>
    <row r="22" spans="7:18">
      <c r="G22" s="30" t="s">
        <v>59</v>
      </c>
      <c r="H22" s="66">
        <v>102521</v>
      </c>
      <c r="I22" s="66">
        <v>1975</v>
      </c>
      <c r="J22" s="66">
        <v>27388</v>
      </c>
      <c r="K22" s="66">
        <v>499</v>
      </c>
      <c r="L22" s="66">
        <v>2749</v>
      </c>
      <c r="M22" s="66">
        <v>3914</v>
      </c>
      <c r="N22" s="66"/>
      <c r="O22" s="66"/>
      <c r="P22" s="66"/>
      <c r="Q22" s="66"/>
      <c r="R22" s="67">
        <f t="shared" si="1"/>
        <v>139046</v>
      </c>
    </row>
    <row r="23" spans="7:18">
      <c r="G23" s="3" t="s">
        <v>480</v>
      </c>
      <c r="H23" s="69">
        <f>IF(COUNT(H17:H22),SUM(H17:H22),"")</f>
        <v>816640</v>
      </c>
      <c r="I23" s="69">
        <f t="shared" ref="I23:R23" si="2">IF(COUNT(I17:I22),SUM(I17:I22),"")</f>
        <v>1239228</v>
      </c>
      <c r="J23" s="69">
        <f t="shared" si="2"/>
        <v>27388</v>
      </c>
      <c r="K23" s="69">
        <f t="shared" si="2"/>
        <v>131770</v>
      </c>
      <c r="L23" s="69">
        <f t="shared" si="2"/>
        <v>176560</v>
      </c>
      <c r="M23" s="69">
        <f t="shared" si="2"/>
        <v>1107125</v>
      </c>
      <c r="N23" s="69" t="str">
        <f t="shared" si="2"/>
        <v/>
      </c>
      <c r="O23" s="69" t="str">
        <f t="shared" si="2"/>
        <v/>
      </c>
      <c r="P23" s="69" t="str">
        <f t="shared" si="2"/>
        <v/>
      </c>
      <c r="Q23" s="69" t="str">
        <f t="shared" si="2"/>
        <v/>
      </c>
      <c r="R23" s="69">
        <f t="shared" si="2"/>
        <v>3498711</v>
      </c>
    </row>
    <row r="24" spans="7:18">
      <c r="G24" s="28" t="s">
        <v>60</v>
      </c>
      <c r="H24" s="63">
        <v>142345</v>
      </c>
      <c r="I24" s="63">
        <v>343000</v>
      </c>
      <c r="J24" s="63">
        <v>0</v>
      </c>
      <c r="K24" s="63">
        <v>0</v>
      </c>
      <c r="L24" s="63">
        <v>0</v>
      </c>
      <c r="M24" s="63">
        <v>189000</v>
      </c>
      <c r="N24" s="63"/>
      <c r="O24" s="63"/>
      <c r="P24" s="63"/>
      <c r="Q24" s="63"/>
      <c r="R24" s="68">
        <f t="shared" ref="R24:R30" si="3">IF(COUNT(H24:Q24),SUM(H24:Q24),"")</f>
        <v>674345</v>
      </c>
    </row>
    <row r="25" spans="7:18">
      <c r="G25" s="144" t="s">
        <v>540</v>
      </c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6" t="str">
        <f t="shared" si="3"/>
        <v/>
      </c>
    </row>
    <row r="26" spans="7:18">
      <c r="G26" s="144" t="s">
        <v>541</v>
      </c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6" t="str">
        <f t="shared" si="3"/>
        <v/>
      </c>
    </row>
    <row r="27" spans="7:18">
      <c r="G27" s="144" t="s">
        <v>664</v>
      </c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6" t="str">
        <f t="shared" si="3"/>
        <v/>
      </c>
    </row>
    <row r="28" spans="7:18">
      <c r="G28" s="29" t="s">
        <v>61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829060</v>
      </c>
      <c r="N28" s="64"/>
      <c r="O28" s="64"/>
      <c r="P28" s="64"/>
      <c r="Q28" s="64"/>
      <c r="R28" s="65">
        <f t="shared" si="3"/>
        <v>829060</v>
      </c>
    </row>
    <row r="29" spans="7:18">
      <c r="G29" s="29" t="s">
        <v>482</v>
      </c>
      <c r="H29" s="64">
        <v>104925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/>
      <c r="O29" s="64"/>
      <c r="P29" s="64"/>
      <c r="Q29" s="64"/>
      <c r="R29" s="65">
        <f t="shared" si="3"/>
        <v>104925</v>
      </c>
    </row>
    <row r="30" spans="7:18">
      <c r="G30" s="30" t="s">
        <v>481</v>
      </c>
      <c r="H30" s="66">
        <v>3651</v>
      </c>
      <c r="I30" s="66">
        <v>0</v>
      </c>
      <c r="J30" s="66">
        <v>5759544</v>
      </c>
      <c r="K30" s="66">
        <v>3212014</v>
      </c>
      <c r="L30" s="66">
        <v>2310030</v>
      </c>
      <c r="M30" s="66">
        <v>852460</v>
      </c>
      <c r="N30" s="66"/>
      <c r="O30" s="66"/>
      <c r="P30" s="66"/>
      <c r="Q30" s="66"/>
      <c r="R30" s="67">
        <f t="shared" si="3"/>
        <v>12137699</v>
      </c>
    </row>
    <row r="31" spans="7:18">
      <c r="G31" s="3" t="s">
        <v>484</v>
      </c>
      <c r="H31" s="69">
        <f>IF(COUNT(H13:H15,H23,H24:H30),SUM(H13:H15,H23,H24:H30),"")</f>
        <v>15448927</v>
      </c>
      <c r="I31" s="69">
        <f t="shared" ref="I31:R31" si="4">IF(COUNT(I13:I15,I23,I24:I30),SUM(I13:I15,I23,I24:I30),"")</f>
        <v>10313366</v>
      </c>
      <c r="J31" s="69">
        <f t="shared" si="4"/>
        <v>6375954</v>
      </c>
      <c r="K31" s="69">
        <f t="shared" si="4"/>
        <v>3357409</v>
      </c>
      <c r="L31" s="69">
        <f t="shared" si="4"/>
        <v>2486590</v>
      </c>
      <c r="M31" s="69">
        <f t="shared" si="4"/>
        <v>27152794</v>
      </c>
      <c r="N31" s="69" t="str">
        <f t="shared" si="4"/>
        <v/>
      </c>
      <c r="O31" s="69" t="str">
        <f t="shared" si="4"/>
        <v/>
      </c>
      <c r="P31" s="69" t="str">
        <f t="shared" si="4"/>
        <v/>
      </c>
      <c r="Q31" s="69" t="str">
        <f t="shared" si="4"/>
        <v/>
      </c>
      <c r="R31" s="69">
        <f t="shared" si="4"/>
        <v>65135040</v>
      </c>
    </row>
    <row r="32" spans="7:18" ht="30">
      <c r="G32" s="4" t="s">
        <v>62</v>
      </c>
      <c r="H32" s="120"/>
      <c r="I32" s="121"/>
      <c r="J32" s="121"/>
      <c r="K32" s="121"/>
      <c r="L32" s="121"/>
      <c r="M32" s="121"/>
      <c r="N32" s="121"/>
      <c r="O32" s="121"/>
      <c r="P32" s="121"/>
      <c r="Q32" s="121"/>
      <c r="R32" s="122"/>
    </row>
    <row r="33" spans="7:18">
      <c r="G33" s="5" t="s">
        <v>26</v>
      </c>
      <c r="H33" s="120"/>
      <c r="I33" s="121"/>
      <c r="J33" s="121"/>
      <c r="K33" s="121"/>
      <c r="L33" s="121"/>
      <c r="M33" s="121"/>
      <c r="N33" s="121"/>
      <c r="O33" s="121"/>
      <c r="P33" s="121"/>
      <c r="Q33" s="121"/>
      <c r="R33" s="122"/>
    </row>
    <row r="34" spans="7:18">
      <c r="G34" s="28" t="s">
        <v>63</v>
      </c>
      <c r="H34" s="63">
        <v>872938</v>
      </c>
      <c r="I34" s="63">
        <v>180896</v>
      </c>
      <c r="J34" s="63">
        <v>51832</v>
      </c>
      <c r="K34" s="63">
        <v>138993</v>
      </c>
      <c r="L34" s="63">
        <v>37146</v>
      </c>
      <c r="M34" s="63">
        <v>427908</v>
      </c>
      <c r="N34" s="63"/>
      <c r="O34" s="63"/>
      <c r="P34" s="63"/>
      <c r="Q34" s="63"/>
      <c r="R34" s="68">
        <f t="shared" ref="R34:R42" si="5">IF(COUNT(H34:Q34),SUM(H34:Q34),"")</f>
        <v>1709713</v>
      </c>
    </row>
    <row r="35" spans="7:18">
      <c r="G35" s="29" t="s">
        <v>64</v>
      </c>
      <c r="H35" s="64">
        <v>1151835</v>
      </c>
      <c r="I35" s="64">
        <v>0</v>
      </c>
      <c r="J35" s="64">
        <v>973</v>
      </c>
      <c r="K35" s="64">
        <v>522</v>
      </c>
      <c r="L35" s="64">
        <v>2127</v>
      </c>
      <c r="M35" s="64">
        <v>58590</v>
      </c>
      <c r="N35" s="64"/>
      <c r="O35" s="64"/>
      <c r="P35" s="64"/>
      <c r="Q35" s="64"/>
      <c r="R35" s="65">
        <f t="shared" si="5"/>
        <v>1214047</v>
      </c>
    </row>
    <row r="36" spans="7:18">
      <c r="G36" s="29" t="s">
        <v>486</v>
      </c>
      <c r="H36" s="64">
        <v>22222</v>
      </c>
      <c r="I36" s="64">
        <v>0</v>
      </c>
      <c r="J36" s="64">
        <v>512</v>
      </c>
      <c r="K36" s="64">
        <v>5883</v>
      </c>
      <c r="L36" s="64">
        <v>0</v>
      </c>
      <c r="M36" s="64">
        <v>418079</v>
      </c>
      <c r="N36" s="64"/>
      <c r="O36" s="64"/>
      <c r="P36" s="64"/>
      <c r="Q36" s="64"/>
      <c r="R36" s="65">
        <f t="shared" si="5"/>
        <v>446696</v>
      </c>
    </row>
    <row r="37" spans="7:18">
      <c r="G37" s="29" t="s">
        <v>65</v>
      </c>
      <c r="H37" s="64">
        <v>0</v>
      </c>
      <c r="I37" s="64">
        <v>0</v>
      </c>
      <c r="J37" s="64">
        <v>0</v>
      </c>
      <c r="K37" s="64">
        <v>0</v>
      </c>
      <c r="L37" s="64">
        <v>137287</v>
      </c>
      <c r="M37" s="64">
        <v>537058</v>
      </c>
      <c r="N37" s="64"/>
      <c r="O37" s="64"/>
      <c r="P37" s="64"/>
      <c r="Q37" s="64"/>
      <c r="R37" s="65">
        <f t="shared" si="5"/>
        <v>674345</v>
      </c>
    </row>
    <row r="38" spans="7:18">
      <c r="G38" s="29" t="s">
        <v>66</v>
      </c>
      <c r="H38" s="64">
        <v>30977</v>
      </c>
      <c r="I38" s="64">
        <v>0</v>
      </c>
      <c r="J38" s="64">
        <v>0</v>
      </c>
      <c r="K38" s="64">
        <v>0</v>
      </c>
      <c r="L38" s="64">
        <v>0</v>
      </c>
      <c r="M38" s="64">
        <v>16200</v>
      </c>
      <c r="N38" s="64"/>
      <c r="O38" s="64"/>
      <c r="P38" s="64"/>
      <c r="Q38" s="64"/>
      <c r="R38" s="65">
        <f t="shared" si="5"/>
        <v>47177</v>
      </c>
    </row>
    <row r="39" spans="7:18">
      <c r="G39" s="140" t="s">
        <v>67</v>
      </c>
      <c r="H39" s="142">
        <v>331999</v>
      </c>
      <c r="I39" s="142">
        <v>32715</v>
      </c>
      <c r="J39" s="142">
        <v>0</v>
      </c>
      <c r="K39" s="142">
        <v>3212011</v>
      </c>
      <c r="L39" s="142">
        <v>2310030</v>
      </c>
      <c r="M39" s="142">
        <v>361811</v>
      </c>
      <c r="N39" s="142"/>
      <c r="O39" s="142"/>
      <c r="P39" s="142"/>
      <c r="Q39" s="142"/>
      <c r="R39" s="147">
        <f t="shared" si="5"/>
        <v>6248566</v>
      </c>
    </row>
    <row r="40" spans="7:18">
      <c r="G40" s="140" t="s">
        <v>542</v>
      </c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7" t="str">
        <f t="shared" si="5"/>
        <v/>
      </c>
    </row>
    <row r="41" spans="7:18">
      <c r="G41" s="140" t="s">
        <v>126</v>
      </c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7" t="str">
        <f t="shared" si="5"/>
        <v/>
      </c>
    </row>
    <row r="42" spans="7:18">
      <c r="G42" s="140" t="s">
        <v>543</v>
      </c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7" t="str">
        <f t="shared" si="5"/>
        <v/>
      </c>
    </row>
    <row r="43" spans="7:18">
      <c r="G43" s="3" t="s">
        <v>487</v>
      </c>
      <c r="H43" s="69">
        <f t="shared" ref="H43:R43" si="6">IF(COUNT(H34:H42),SUM(H34:H42),"")</f>
        <v>2409971</v>
      </c>
      <c r="I43" s="69">
        <f t="shared" si="6"/>
        <v>213611</v>
      </c>
      <c r="J43" s="69">
        <f t="shared" si="6"/>
        <v>53317</v>
      </c>
      <c r="K43" s="69">
        <f t="shared" si="6"/>
        <v>3357409</v>
      </c>
      <c r="L43" s="69">
        <f t="shared" si="6"/>
        <v>2486590</v>
      </c>
      <c r="M43" s="69">
        <f t="shared" si="6"/>
        <v>1819646</v>
      </c>
      <c r="N43" s="69" t="str">
        <f t="shared" si="6"/>
        <v/>
      </c>
      <c r="O43" s="69" t="str">
        <f t="shared" si="6"/>
        <v/>
      </c>
      <c r="P43" s="69" t="str">
        <f t="shared" si="6"/>
        <v/>
      </c>
      <c r="Q43" s="69" t="str">
        <f t="shared" si="6"/>
        <v/>
      </c>
      <c r="R43" s="69">
        <f t="shared" si="6"/>
        <v>10340544</v>
      </c>
    </row>
    <row r="44" spans="7:18">
      <c r="G44" s="5" t="s">
        <v>68</v>
      </c>
      <c r="H44" s="123"/>
      <c r="I44" s="124"/>
      <c r="J44" s="124"/>
      <c r="K44" s="124"/>
      <c r="L44" s="124"/>
      <c r="M44" s="124"/>
      <c r="N44" s="124"/>
      <c r="O44" s="124"/>
      <c r="P44" s="124"/>
      <c r="Q44" s="124"/>
      <c r="R44" s="125"/>
    </row>
    <row r="45" spans="7:18">
      <c r="G45" s="36" t="s">
        <v>489</v>
      </c>
      <c r="H45" s="63">
        <v>365151</v>
      </c>
      <c r="I45" s="63">
        <v>0</v>
      </c>
      <c r="J45" s="63">
        <v>0</v>
      </c>
      <c r="K45" s="63">
        <v>0</v>
      </c>
      <c r="L45" s="63">
        <v>0</v>
      </c>
      <c r="M45" s="62">
        <v>0</v>
      </c>
      <c r="N45" s="63"/>
      <c r="O45" s="63"/>
      <c r="P45" s="63"/>
      <c r="Q45" s="63"/>
      <c r="R45" s="68">
        <f t="shared" ref="R45:R46" si="7">IF(COUNT(H45:Q45),SUM(H45:Q45),"")</f>
        <v>365151</v>
      </c>
    </row>
    <row r="46" spans="7:18">
      <c r="G46" s="37" t="s">
        <v>69</v>
      </c>
      <c r="H46" s="66">
        <v>0</v>
      </c>
      <c r="I46" s="66">
        <v>0</v>
      </c>
      <c r="J46" s="66">
        <v>5759544</v>
      </c>
      <c r="K46" s="66">
        <v>0</v>
      </c>
      <c r="L46" s="66">
        <v>0</v>
      </c>
      <c r="M46" s="66">
        <v>518304</v>
      </c>
      <c r="N46" s="66"/>
      <c r="O46" s="66"/>
      <c r="P46" s="66"/>
      <c r="Q46" s="66"/>
      <c r="R46" s="67">
        <f t="shared" si="7"/>
        <v>6277848</v>
      </c>
    </row>
    <row r="47" spans="7:18">
      <c r="G47" s="3" t="s">
        <v>70</v>
      </c>
      <c r="H47" s="69">
        <f>IF(COUNT(H45:H46),SUM(H45:H46),"")</f>
        <v>365151</v>
      </c>
      <c r="I47" s="69">
        <f t="shared" ref="I47:R47" si="8">IF(COUNT(I45:I46),SUM(I45:I46),"")</f>
        <v>0</v>
      </c>
      <c r="J47" s="69">
        <f t="shared" si="8"/>
        <v>5759544</v>
      </c>
      <c r="K47" s="69">
        <f t="shared" si="8"/>
        <v>0</v>
      </c>
      <c r="L47" s="69">
        <f t="shared" si="8"/>
        <v>0</v>
      </c>
      <c r="M47" s="69">
        <f t="shared" si="8"/>
        <v>518304</v>
      </c>
      <c r="N47" s="69" t="str">
        <f t="shared" si="8"/>
        <v/>
      </c>
      <c r="O47" s="69" t="str">
        <f t="shared" si="8"/>
        <v/>
      </c>
      <c r="P47" s="69" t="str">
        <f t="shared" si="8"/>
        <v/>
      </c>
      <c r="Q47" s="69" t="str">
        <f t="shared" si="8"/>
        <v/>
      </c>
      <c r="R47" s="69">
        <f t="shared" si="8"/>
        <v>6642999</v>
      </c>
    </row>
    <row r="48" spans="7:18">
      <c r="G48" s="5" t="s">
        <v>71</v>
      </c>
      <c r="H48" s="120"/>
      <c r="I48" s="121"/>
      <c r="J48" s="121"/>
      <c r="K48" s="121"/>
      <c r="L48" s="121"/>
      <c r="M48" s="121"/>
      <c r="N48" s="121"/>
      <c r="O48" s="121"/>
      <c r="P48" s="121"/>
      <c r="Q48" s="121"/>
      <c r="R48" s="122"/>
    </row>
    <row r="49" spans="7:18">
      <c r="G49" s="28" t="s">
        <v>72</v>
      </c>
      <c r="H49" s="63">
        <v>95259</v>
      </c>
      <c r="I49" s="63">
        <v>0</v>
      </c>
      <c r="J49" s="63">
        <v>0</v>
      </c>
      <c r="K49" s="63">
        <v>0</v>
      </c>
      <c r="L49" s="63">
        <v>0</v>
      </c>
      <c r="M49" s="63">
        <v>829060</v>
      </c>
      <c r="N49" s="63"/>
      <c r="O49" s="63"/>
      <c r="P49" s="63"/>
      <c r="Q49" s="63"/>
      <c r="R49" s="68">
        <f t="shared" ref="R49:R52" si="9">IF(COUNT(H49:Q49),SUM(H49:Q49),"")</f>
        <v>924319</v>
      </c>
    </row>
    <row r="50" spans="7:18">
      <c r="G50" s="29" t="s">
        <v>43</v>
      </c>
      <c r="H50" s="64">
        <v>0</v>
      </c>
      <c r="I50" s="64">
        <v>10099755</v>
      </c>
      <c r="J50" s="64">
        <v>563093</v>
      </c>
      <c r="K50" s="64">
        <v>0</v>
      </c>
      <c r="L50" s="64">
        <v>0</v>
      </c>
      <c r="M50" s="64">
        <v>23832586</v>
      </c>
      <c r="N50" s="64"/>
      <c r="O50" s="64"/>
      <c r="P50" s="64"/>
      <c r="Q50" s="64"/>
      <c r="R50" s="65">
        <f t="shared" si="9"/>
        <v>34495434</v>
      </c>
    </row>
    <row r="51" spans="7:18">
      <c r="G51" s="29" t="s">
        <v>73</v>
      </c>
      <c r="H51" s="64">
        <v>5374527</v>
      </c>
      <c r="I51" s="64">
        <v>0</v>
      </c>
      <c r="J51" s="64">
        <v>0</v>
      </c>
      <c r="K51" s="64">
        <v>0</v>
      </c>
      <c r="L51" s="64">
        <v>0</v>
      </c>
      <c r="M51" s="64">
        <v>157598</v>
      </c>
      <c r="N51" s="64"/>
      <c r="O51" s="64"/>
      <c r="P51" s="64"/>
      <c r="Q51" s="64"/>
      <c r="R51" s="65">
        <f t="shared" si="9"/>
        <v>5532125</v>
      </c>
    </row>
    <row r="52" spans="7:18">
      <c r="G52" s="30" t="s">
        <v>74</v>
      </c>
      <c r="H52" s="66">
        <v>7204019</v>
      </c>
      <c r="I52" s="66">
        <v>0</v>
      </c>
      <c r="J52" s="66">
        <v>0</v>
      </c>
      <c r="K52" s="66">
        <v>0</v>
      </c>
      <c r="L52" s="66">
        <v>0</v>
      </c>
      <c r="M52" s="66">
        <v>-4400</v>
      </c>
      <c r="N52" s="66"/>
      <c r="O52" s="66"/>
      <c r="P52" s="66"/>
      <c r="Q52" s="66"/>
      <c r="R52" s="67">
        <f t="shared" si="9"/>
        <v>7199619</v>
      </c>
    </row>
    <row r="53" spans="7:18">
      <c r="G53" s="3" t="s">
        <v>75</v>
      </c>
      <c r="H53" s="69">
        <f>IF(COUNT(H49:H52),SUM(H49:H52),"")</f>
        <v>12673805</v>
      </c>
      <c r="I53" s="69">
        <f t="shared" ref="I53:L53" si="10">IF(COUNT(I49:I52),SUM(I49:I52),"")</f>
        <v>10099755</v>
      </c>
      <c r="J53" s="69">
        <f t="shared" si="10"/>
        <v>563093</v>
      </c>
      <c r="K53" s="69">
        <f t="shared" si="10"/>
        <v>0</v>
      </c>
      <c r="L53" s="69">
        <f t="shared" si="10"/>
        <v>0</v>
      </c>
      <c r="M53" s="69">
        <f t="shared" ref="M53:R53" si="11">IF(COUNT(M49:M52),SUM(M49:M52),"")</f>
        <v>24814844</v>
      </c>
      <c r="N53" s="69" t="str">
        <f t="shared" si="11"/>
        <v/>
      </c>
      <c r="O53" s="69" t="str">
        <f t="shared" si="11"/>
        <v/>
      </c>
      <c r="P53" s="69" t="str">
        <f t="shared" si="11"/>
        <v/>
      </c>
      <c r="Q53" s="69" t="str">
        <f t="shared" si="11"/>
        <v/>
      </c>
      <c r="R53" s="69">
        <f t="shared" si="11"/>
        <v>48151497</v>
      </c>
    </row>
    <row r="54" spans="7:18" ht="30">
      <c r="G54" s="10" t="s">
        <v>76</v>
      </c>
      <c r="H54" s="69">
        <f>IF(COUNT(H43,H47,H53),SUM(H43,H47,H53),"")</f>
        <v>15448927</v>
      </c>
      <c r="I54" s="69">
        <f t="shared" ref="I54:L54" si="12">IF(COUNT(I43,I47,I53),SUM(I43,I47,I53),"")</f>
        <v>10313366</v>
      </c>
      <c r="J54" s="69">
        <f t="shared" si="12"/>
        <v>6375954</v>
      </c>
      <c r="K54" s="69">
        <f t="shared" si="12"/>
        <v>3357409</v>
      </c>
      <c r="L54" s="69">
        <f t="shared" si="12"/>
        <v>2486590</v>
      </c>
      <c r="M54" s="69">
        <f t="shared" ref="M54:R54" si="13">IF(COUNT(M43,M47,M53),SUM(M43,M47,M53),"")</f>
        <v>27152794</v>
      </c>
      <c r="N54" s="69" t="str">
        <f t="shared" si="13"/>
        <v/>
      </c>
      <c r="O54" s="69" t="str">
        <f t="shared" si="13"/>
        <v/>
      </c>
      <c r="P54" s="69" t="str">
        <f t="shared" si="13"/>
        <v/>
      </c>
      <c r="Q54" s="69" t="str">
        <f t="shared" si="13"/>
        <v/>
      </c>
      <c r="R54" s="69">
        <f t="shared" si="13"/>
        <v>65135040</v>
      </c>
    </row>
    <row r="55" spans="7:18"/>
    <row r="56" spans="7:18"/>
  </sheetData>
  <sheetProtection algorithmName="SHA-512" hashValue="3gCssF/5lG+KkXCrBrIflTCZtiJpjYysPXz4nPN/gsvHIQ7v47SgxCwAvTbKs46O3otlHnHg5NubWIgntutwHw==" saltValue="vXTY5X/Go0Xj9KsyNNrcNA==" spinCount="100000" sheet="1" objects="1" scenarios="1"/>
  <mergeCells count="1">
    <mergeCell ref="G10:Q10"/>
  </mergeCells>
  <dataValidations count="2">
    <dataValidation allowBlank="1" showInputMessage="1" showErrorMessage="1" prompt="Nature of other government fund" sqref="M11:Q11 J11:K11"/>
    <dataValidation type="whole" allowBlank="1" showInputMessage="1" showErrorMessage="1" sqref="H13:R54">
      <formula1>-1.11111111111111E+38</formula1>
      <formula2>1.11111111111111E+37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Right="0"/>
  </sheetPr>
  <dimension ref="E1:T83"/>
  <sheetViews>
    <sheetView showGridLines="0" topLeftCell="E9" zoomScale="85" zoomScaleNormal="85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2.28515625" customWidth="1"/>
    <col min="6" max="6" width="2" customWidth="1"/>
    <col min="7" max="7" width="35.7109375" style="17" customWidth="1"/>
    <col min="8" max="17" width="20.7109375" style="17" customWidth="1"/>
    <col min="18" max="18" width="19.5703125" style="17" customWidth="1"/>
    <col min="19" max="19" width="2" customWidth="1"/>
    <col min="20" max="20" width="2.28515625" customWidth="1"/>
    <col min="21" max="16384" width="9.140625" hidden="1"/>
  </cols>
  <sheetData>
    <row r="1" spans="7:18" hidden="1"/>
    <row r="2" spans="7:18" hidden="1"/>
    <row r="3" spans="7:18" hidden="1"/>
    <row r="4" spans="7:18" hidden="1"/>
    <row r="5" spans="7:18" hidden="1"/>
    <row r="6" spans="7:18" hidden="1"/>
    <row r="7" spans="7:18" hidden="1"/>
    <row r="8" spans="7:18" hidden="1"/>
    <row r="9" spans="7:18" ht="39.950000000000003" customHeight="1"/>
    <row r="10" spans="7:18" ht="24.95" customHeight="1">
      <c r="G10" s="199" t="s">
        <v>239</v>
      </c>
      <c r="H10" s="200"/>
      <c r="I10" s="200"/>
      <c r="J10" s="200"/>
      <c r="K10" s="200"/>
      <c r="L10" s="200"/>
      <c r="M10" s="200"/>
      <c r="N10" s="200"/>
      <c r="O10" s="200"/>
      <c r="P10" s="200"/>
      <c r="Q10" s="200"/>
      <c r="R10" s="135" t="s">
        <v>657</v>
      </c>
    </row>
    <row r="11" spans="7:18" ht="34.5" customHeight="1">
      <c r="G11" s="8" t="s">
        <v>3</v>
      </c>
      <c r="H11" s="130" t="s">
        <v>50</v>
      </c>
      <c r="I11" s="130" t="s">
        <v>51</v>
      </c>
      <c r="J11" s="130" t="str">
        <f>IF(COUNTA('Governmental Fund Balance Sheet'!J11),'Governmental Fund Balance Sheet'!J11,"")</f>
        <v>SHIP</v>
      </c>
      <c r="K11" s="130" t="str">
        <f>IF(COUNTA('Governmental Fund Balance Sheet'!K11),'Governmental Fund Balance Sheet'!K11,"")</f>
        <v>HOME</v>
      </c>
      <c r="L11" s="130" t="str">
        <f>IF(COUNTA('Governmental Fund Balance Sheet'!L11),'Governmental Fund Balance Sheet'!L11,"")</f>
        <v>CDBG</v>
      </c>
      <c r="M11" s="130" t="str">
        <f>IF(COUNTA('Governmental Fund Balance Sheet'!M11),'Governmental Fund Balance Sheet'!M11,"")</f>
        <v>Other Governmental</v>
      </c>
      <c r="N11" s="130" t="str">
        <f>IF(COUNTA('Governmental Fund Balance Sheet'!N11),'Governmental Fund Balance Sheet'!N11,"")</f>
        <v/>
      </c>
      <c r="O11" s="130" t="str">
        <f>IF(COUNTA('Governmental Fund Balance Sheet'!O11),'Governmental Fund Balance Sheet'!O11,"")</f>
        <v/>
      </c>
      <c r="P11" s="130" t="str">
        <f>IF(COUNTA('Governmental Fund Balance Sheet'!P11),'Governmental Fund Balance Sheet'!P11,"")</f>
        <v/>
      </c>
      <c r="Q11" s="130" t="str">
        <f>IF(COUNTA('Governmental Fund Balance Sheet'!Q11),'Governmental Fund Balance Sheet'!Q11,"")</f>
        <v/>
      </c>
      <c r="R11" s="130" t="s">
        <v>52</v>
      </c>
    </row>
    <row r="12" spans="7:18">
      <c r="G12" s="5" t="s">
        <v>77</v>
      </c>
      <c r="H12" s="126"/>
      <c r="I12" s="127"/>
      <c r="J12" s="127"/>
      <c r="K12" s="127"/>
      <c r="L12" s="127"/>
      <c r="M12" s="127"/>
      <c r="N12" s="127"/>
      <c r="O12" s="127"/>
      <c r="P12" s="127"/>
      <c r="Q12" s="127"/>
      <c r="R12" s="128"/>
    </row>
    <row r="13" spans="7:18">
      <c r="G13" s="5" t="s">
        <v>473</v>
      </c>
      <c r="H13" s="126"/>
      <c r="I13" s="127"/>
      <c r="J13" s="127"/>
      <c r="K13" s="127"/>
      <c r="L13" s="127"/>
      <c r="M13" s="127"/>
      <c r="N13" s="127"/>
      <c r="O13" s="127"/>
      <c r="P13" s="127"/>
      <c r="Q13" s="127"/>
      <c r="R13" s="128" t="str">
        <f>IF(COUNT(H13:Q13),SUM(H13:Q13),"")</f>
        <v/>
      </c>
    </row>
    <row r="14" spans="7:18">
      <c r="G14" s="148" t="s">
        <v>544</v>
      </c>
      <c r="H14" s="145">
        <v>30988322</v>
      </c>
      <c r="I14" s="145">
        <v>7054974</v>
      </c>
      <c r="J14" s="145">
        <v>0</v>
      </c>
      <c r="K14" s="145">
        <v>0</v>
      </c>
      <c r="L14" s="145">
        <v>0</v>
      </c>
      <c r="M14" s="145">
        <v>709962</v>
      </c>
      <c r="N14" s="145"/>
      <c r="O14" s="145"/>
      <c r="P14" s="145"/>
      <c r="Q14" s="145"/>
      <c r="R14" s="146">
        <f t="shared" ref="R14:R36" si="0">IF(COUNT(H14:Q14),SUM(H14:Q14),"")</f>
        <v>38753258</v>
      </c>
    </row>
    <row r="15" spans="7:18">
      <c r="G15" s="148" t="s">
        <v>665</v>
      </c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6" t="str">
        <f t="shared" si="0"/>
        <v/>
      </c>
    </row>
    <row r="16" spans="7:18">
      <c r="G16" s="148" t="s">
        <v>545</v>
      </c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6" t="str">
        <f t="shared" si="0"/>
        <v/>
      </c>
    </row>
    <row r="17" spans="7:18">
      <c r="G17" s="148" t="s">
        <v>546</v>
      </c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6" t="str">
        <f t="shared" si="0"/>
        <v/>
      </c>
    </row>
    <row r="18" spans="7:18">
      <c r="G18" s="148" t="s">
        <v>547</v>
      </c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6" t="str">
        <f t="shared" si="0"/>
        <v/>
      </c>
    </row>
    <row r="19" spans="7:18">
      <c r="G19" s="148" t="s">
        <v>548</v>
      </c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6" t="str">
        <f t="shared" si="0"/>
        <v/>
      </c>
    </row>
    <row r="20" spans="7:18">
      <c r="G20" s="148" t="s">
        <v>549</v>
      </c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6" t="str">
        <f t="shared" si="0"/>
        <v/>
      </c>
    </row>
    <row r="21" spans="7:18">
      <c r="G21" s="11" t="s">
        <v>550</v>
      </c>
      <c r="H21" s="69">
        <f>IF(COUNT(H14:H20),SUM(H14:H20),"")</f>
        <v>30988322</v>
      </c>
      <c r="I21" s="69">
        <f t="shared" ref="I21:R21" si="1">IF(COUNT(I14:I20),SUM(I14:I20),"")</f>
        <v>7054974</v>
      </c>
      <c r="J21" s="69">
        <f t="shared" si="1"/>
        <v>0</v>
      </c>
      <c r="K21" s="69">
        <f t="shared" si="1"/>
        <v>0</v>
      </c>
      <c r="L21" s="69">
        <f t="shared" si="1"/>
        <v>0</v>
      </c>
      <c r="M21" s="69">
        <f t="shared" si="1"/>
        <v>709962</v>
      </c>
      <c r="N21" s="69" t="str">
        <f t="shared" si="1"/>
        <v/>
      </c>
      <c r="O21" s="69" t="str">
        <f t="shared" si="1"/>
        <v/>
      </c>
      <c r="P21" s="69" t="str">
        <f t="shared" si="1"/>
        <v/>
      </c>
      <c r="Q21" s="69" t="str">
        <f t="shared" si="1"/>
        <v/>
      </c>
      <c r="R21" s="69">
        <f t="shared" si="1"/>
        <v>38753258</v>
      </c>
    </row>
    <row r="22" spans="7:18">
      <c r="G22" s="33" t="s">
        <v>722</v>
      </c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6" t="str">
        <f t="shared" si="0"/>
        <v/>
      </c>
    </row>
    <row r="23" spans="7:18">
      <c r="G23" s="7" t="s">
        <v>10</v>
      </c>
      <c r="H23" s="126"/>
      <c r="I23" s="127"/>
      <c r="J23" s="127"/>
      <c r="K23" s="127"/>
      <c r="L23" s="127"/>
      <c r="M23" s="127"/>
      <c r="N23" s="127"/>
      <c r="O23" s="127"/>
      <c r="P23" s="127"/>
      <c r="Q23" s="127"/>
      <c r="R23" s="128"/>
    </row>
    <row r="24" spans="7:18">
      <c r="G24" s="148" t="s">
        <v>551</v>
      </c>
      <c r="H24" s="145">
        <v>9930439</v>
      </c>
      <c r="I24" s="145">
        <v>861933</v>
      </c>
      <c r="J24" s="145">
        <v>387272</v>
      </c>
      <c r="K24" s="145">
        <v>125936</v>
      </c>
      <c r="L24" s="145">
        <v>596186</v>
      </c>
      <c r="M24" s="145">
        <v>1468815</v>
      </c>
      <c r="N24" s="145"/>
      <c r="O24" s="145"/>
      <c r="P24" s="145"/>
      <c r="Q24" s="145"/>
      <c r="R24" s="146">
        <f t="shared" si="0"/>
        <v>13370581</v>
      </c>
    </row>
    <row r="25" spans="7:18">
      <c r="G25" s="148" t="s">
        <v>552</v>
      </c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6" t="str">
        <f t="shared" si="0"/>
        <v/>
      </c>
    </row>
    <row r="26" spans="7:18">
      <c r="G26" s="148" t="s">
        <v>553</v>
      </c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6" t="str">
        <f t="shared" si="0"/>
        <v/>
      </c>
    </row>
    <row r="27" spans="7:18">
      <c r="G27" s="11" t="s">
        <v>554</v>
      </c>
      <c r="H27" s="69">
        <f>IF(COUNT(H24:H26),SUM(H24:H26),"")</f>
        <v>9930439</v>
      </c>
      <c r="I27" s="69">
        <f t="shared" ref="I27:R27" si="2">IF(COUNT(I24:I26),SUM(I24:I26),"")</f>
        <v>861933</v>
      </c>
      <c r="J27" s="69">
        <f t="shared" si="2"/>
        <v>387272</v>
      </c>
      <c r="K27" s="69">
        <f t="shared" si="2"/>
        <v>125936</v>
      </c>
      <c r="L27" s="69">
        <f t="shared" si="2"/>
        <v>596186</v>
      </c>
      <c r="M27" s="69">
        <f t="shared" si="2"/>
        <v>1468815</v>
      </c>
      <c r="N27" s="69" t="str">
        <f t="shared" si="2"/>
        <v/>
      </c>
      <c r="O27" s="69" t="str">
        <f t="shared" si="2"/>
        <v/>
      </c>
      <c r="P27" s="69" t="str">
        <f t="shared" si="2"/>
        <v/>
      </c>
      <c r="Q27" s="69" t="str">
        <f t="shared" si="2"/>
        <v/>
      </c>
      <c r="R27" s="69">
        <f t="shared" si="2"/>
        <v>13370581</v>
      </c>
    </row>
    <row r="28" spans="7:18">
      <c r="G28" s="33" t="s">
        <v>555</v>
      </c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6" t="str">
        <f t="shared" si="0"/>
        <v/>
      </c>
    </row>
    <row r="29" spans="7:18">
      <c r="G29" s="33" t="s">
        <v>78</v>
      </c>
      <c r="H29" s="64">
        <v>5756459</v>
      </c>
      <c r="I29" s="64">
        <v>0</v>
      </c>
      <c r="J29" s="64">
        <v>0</v>
      </c>
      <c r="K29" s="64">
        <v>0</v>
      </c>
      <c r="L29" s="64">
        <v>0</v>
      </c>
      <c r="M29" s="64">
        <v>1963790</v>
      </c>
      <c r="N29" s="64"/>
      <c r="O29" s="64"/>
      <c r="P29" s="64"/>
      <c r="Q29" s="64"/>
      <c r="R29" s="65">
        <f t="shared" si="0"/>
        <v>7720249</v>
      </c>
    </row>
    <row r="30" spans="7:18">
      <c r="G30" s="33" t="s">
        <v>673</v>
      </c>
      <c r="H30" s="64">
        <v>13521639</v>
      </c>
      <c r="I30" s="64">
        <v>0</v>
      </c>
      <c r="J30" s="64">
        <v>0</v>
      </c>
      <c r="K30" s="64">
        <v>0</v>
      </c>
      <c r="L30" s="64">
        <v>0</v>
      </c>
      <c r="M30" s="64">
        <v>5587354</v>
      </c>
      <c r="N30" s="64"/>
      <c r="O30" s="64"/>
      <c r="P30" s="64"/>
      <c r="Q30" s="64"/>
      <c r="R30" s="65">
        <f t="shared" si="0"/>
        <v>19108993</v>
      </c>
    </row>
    <row r="31" spans="7:18">
      <c r="G31" s="33" t="s">
        <v>79</v>
      </c>
      <c r="H31" s="64">
        <v>390270</v>
      </c>
      <c r="I31" s="64">
        <v>0</v>
      </c>
      <c r="J31" s="64">
        <v>0</v>
      </c>
      <c r="K31" s="64">
        <v>0</v>
      </c>
      <c r="L31" s="64">
        <v>0</v>
      </c>
      <c r="M31" s="64">
        <v>0</v>
      </c>
      <c r="N31" s="64"/>
      <c r="O31" s="64"/>
      <c r="P31" s="64"/>
      <c r="Q31" s="64"/>
      <c r="R31" s="65">
        <f t="shared" si="0"/>
        <v>390270</v>
      </c>
    </row>
    <row r="32" spans="7:18">
      <c r="G32" s="33" t="s">
        <v>80</v>
      </c>
      <c r="H32" s="64">
        <v>3194537</v>
      </c>
      <c r="I32" s="64">
        <v>0</v>
      </c>
      <c r="J32" s="64">
        <v>0</v>
      </c>
      <c r="K32" s="64">
        <v>0</v>
      </c>
      <c r="L32" s="64">
        <v>0</v>
      </c>
      <c r="M32" s="64">
        <v>0</v>
      </c>
      <c r="N32" s="64"/>
      <c r="O32" s="64"/>
      <c r="P32" s="64"/>
      <c r="Q32" s="64"/>
      <c r="R32" s="65">
        <f t="shared" si="0"/>
        <v>3194537</v>
      </c>
    </row>
    <row r="33" spans="7:18">
      <c r="G33" s="33" t="s">
        <v>81</v>
      </c>
      <c r="H33" s="64">
        <v>15000</v>
      </c>
      <c r="I33" s="64">
        <v>0</v>
      </c>
      <c r="J33" s="64">
        <v>87774</v>
      </c>
      <c r="K33" s="64">
        <v>0</v>
      </c>
      <c r="L33" s="64">
        <v>111012</v>
      </c>
      <c r="M33" s="64">
        <v>196021</v>
      </c>
      <c r="N33" s="64"/>
      <c r="O33" s="64"/>
      <c r="P33" s="64"/>
      <c r="Q33" s="64"/>
      <c r="R33" s="65">
        <f t="shared" si="0"/>
        <v>409807</v>
      </c>
    </row>
    <row r="34" spans="7:18">
      <c r="G34" s="33" t="s">
        <v>82</v>
      </c>
      <c r="H34" s="64">
        <v>144168</v>
      </c>
      <c r="I34" s="64">
        <v>0</v>
      </c>
      <c r="J34" s="64">
        <v>0</v>
      </c>
      <c r="K34" s="64">
        <v>0</v>
      </c>
      <c r="L34" s="64">
        <v>0</v>
      </c>
      <c r="M34" s="64">
        <v>167750</v>
      </c>
      <c r="N34" s="64"/>
      <c r="O34" s="64"/>
      <c r="P34" s="64"/>
      <c r="Q34" s="64"/>
      <c r="R34" s="65">
        <f t="shared" si="0"/>
        <v>311918</v>
      </c>
    </row>
    <row r="35" spans="7:18">
      <c r="G35" s="33" t="s">
        <v>674</v>
      </c>
      <c r="H35" s="64">
        <v>146953</v>
      </c>
      <c r="I35" s="64">
        <v>58171</v>
      </c>
      <c r="J35" s="64">
        <v>15347</v>
      </c>
      <c r="K35" s="64">
        <v>0</v>
      </c>
      <c r="L35" s="64">
        <v>8933</v>
      </c>
      <c r="M35" s="64">
        <v>187793</v>
      </c>
      <c r="N35" s="64"/>
      <c r="O35" s="64"/>
      <c r="P35" s="64"/>
      <c r="Q35" s="64"/>
      <c r="R35" s="65">
        <f t="shared" si="0"/>
        <v>417197</v>
      </c>
    </row>
    <row r="36" spans="7:18">
      <c r="G36" s="34" t="s">
        <v>509</v>
      </c>
      <c r="H36" s="66">
        <v>413506</v>
      </c>
      <c r="I36" s="66">
        <v>238421</v>
      </c>
      <c r="J36" s="66">
        <v>193550</v>
      </c>
      <c r="K36" s="66">
        <v>0</v>
      </c>
      <c r="L36" s="66">
        <v>178808</v>
      </c>
      <c r="M36" s="66">
        <v>158214</v>
      </c>
      <c r="N36" s="66"/>
      <c r="O36" s="66"/>
      <c r="P36" s="66"/>
      <c r="Q36" s="66"/>
      <c r="R36" s="67">
        <f t="shared" si="0"/>
        <v>1182499</v>
      </c>
    </row>
    <row r="37" spans="7:18">
      <c r="G37" s="11" t="s">
        <v>84</v>
      </c>
      <c r="H37" s="69">
        <f>IF(COUNT(H21:H22,H27,H28:H36),SUM(H21:H22,H27,H28:H36),"")</f>
        <v>64501293</v>
      </c>
      <c r="I37" s="69">
        <f t="shared" ref="I37:R37" si="3">IF(COUNT(I21:I22,I27,I28:I36),SUM(I21:I22,I27,I28:I36),"")</f>
        <v>8213499</v>
      </c>
      <c r="J37" s="69">
        <f t="shared" si="3"/>
        <v>683943</v>
      </c>
      <c r="K37" s="69">
        <f t="shared" si="3"/>
        <v>125936</v>
      </c>
      <c r="L37" s="69">
        <f t="shared" si="3"/>
        <v>894939</v>
      </c>
      <c r="M37" s="69">
        <f t="shared" si="3"/>
        <v>10439699</v>
      </c>
      <c r="N37" s="69" t="str">
        <f t="shared" si="3"/>
        <v/>
      </c>
      <c r="O37" s="69" t="str">
        <f t="shared" si="3"/>
        <v/>
      </c>
      <c r="P37" s="69" t="str">
        <f t="shared" si="3"/>
        <v/>
      </c>
      <c r="Q37" s="69" t="str">
        <f t="shared" si="3"/>
        <v/>
      </c>
      <c r="R37" s="69">
        <f t="shared" si="3"/>
        <v>84859309</v>
      </c>
    </row>
    <row r="38" spans="7:18">
      <c r="G38" s="5" t="s">
        <v>85</v>
      </c>
      <c r="H38" s="207"/>
      <c r="I38" s="208"/>
      <c r="J38" s="208"/>
      <c r="K38" s="208"/>
      <c r="L38" s="208"/>
      <c r="M38" s="208"/>
      <c r="N38" s="208"/>
      <c r="O38" s="208"/>
      <c r="P38" s="208"/>
      <c r="Q38" s="208"/>
      <c r="R38" s="209"/>
    </row>
    <row r="39" spans="7:18">
      <c r="G39" s="7" t="s">
        <v>86</v>
      </c>
      <c r="H39" s="207"/>
      <c r="I39" s="208"/>
      <c r="J39" s="208"/>
      <c r="K39" s="208"/>
      <c r="L39" s="208"/>
      <c r="M39" s="208"/>
      <c r="N39" s="208"/>
      <c r="O39" s="208"/>
      <c r="P39" s="208"/>
      <c r="Q39" s="208"/>
      <c r="R39" s="209"/>
    </row>
    <row r="40" spans="7:18">
      <c r="G40" s="38" t="s">
        <v>87</v>
      </c>
      <c r="H40" s="63">
        <v>6627846</v>
      </c>
      <c r="I40" s="63">
        <v>0</v>
      </c>
      <c r="J40" s="63">
        <v>0</v>
      </c>
      <c r="K40" s="63">
        <v>0</v>
      </c>
      <c r="L40" s="63">
        <v>2982</v>
      </c>
      <c r="M40" s="63">
        <v>116626</v>
      </c>
      <c r="N40" s="63"/>
      <c r="O40" s="63"/>
      <c r="P40" s="63"/>
      <c r="Q40" s="63"/>
      <c r="R40" s="68">
        <f t="shared" ref="R40:R45" si="4">IF(COUNT(H40:Q40),SUM(H40:Q40),"")</f>
        <v>6747454</v>
      </c>
    </row>
    <row r="41" spans="7:18">
      <c r="G41" s="39" t="s">
        <v>88</v>
      </c>
      <c r="H41" s="64">
        <v>36395712</v>
      </c>
      <c r="I41" s="64">
        <v>0</v>
      </c>
      <c r="J41" s="64">
        <v>0</v>
      </c>
      <c r="K41" s="64">
        <v>0</v>
      </c>
      <c r="L41" s="64">
        <v>0</v>
      </c>
      <c r="M41" s="64">
        <v>91334</v>
      </c>
      <c r="N41" s="64"/>
      <c r="O41" s="64"/>
      <c r="P41" s="64"/>
      <c r="Q41" s="64"/>
      <c r="R41" s="65">
        <f t="shared" si="4"/>
        <v>36487046</v>
      </c>
    </row>
    <row r="42" spans="7:18">
      <c r="G42" s="39" t="s">
        <v>491</v>
      </c>
      <c r="H42" s="64">
        <v>3803452</v>
      </c>
      <c r="I42" s="64">
        <v>0</v>
      </c>
      <c r="J42" s="64">
        <v>0</v>
      </c>
      <c r="K42" s="64">
        <v>0</v>
      </c>
      <c r="L42" s="64">
        <v>0</v>
      </c>
      <c r="M42" s="64">
        <v>3435341</v>
      </c>
      <c r="N42" s="64"/>
      <c r="O42" s="64"/>
      <c r="P42" s="64"/>
      <c r="Q42" s="64"/>
      <c r="R42" s="65">
        <f t="shared" si="4"/>
        <v>7238793</v>
      </c>
    </row>
    <row r="43" spans="7:18">
      <c r="G43" s="39" t="s">
        <v>492</v>
      </c>
      <c r="H43" s="64">
        <v>2048663</v>
      </c>
      <c r="I43" s="64">
        <v>0</v>
      </c>
      <c r="J43" s="64">
        <v>604417</v>
      </c>
      <c r="K43" s="64">
        <v>125936</v>
      </c>
      <c r="L43" s="64">
        <v>891957</v>
      </c>
      <c r="M43" s="64">
        <v>1655997</v>
      </c>
      <c r="N43" s="64"/>
      <c r="O43" s="64"/>
      <c r="P43" s="64"/>
      <c r="Q43" s="64"/>
      <c r="R43" s="65">
        <f t="shared" si="4"/>
        <v>5326970</v>
      </c>
    </row>
    <row r="44" spans="7:18">
      <c r="G44" s="149" t="s">
        <v>90</v>
      </c>
      <c r="H44" s="142">
        <v>12883810</v>
      </c>
      <c r="I44" s="142">
        <v>0</v>
      </c>
      <c r="J44" s="142">
        <v>0</v>
      </c>
      <c r="K44" s="142">
        <v>0</v>
      </c>
      <c r="L44" s="142">
        <v>0</v>
      </c>
      <c r="M44" s="142">
        <v>308084</v>
      </c>
      <c r="N44" s="142"/>
      <c r="O44" s="142"/>
      <c r="P44" s="142"/>
      <c r="Q44" s="142"/>
      <c r="R44" s="147">
        <f t="shared" si="4"/>
        <v>13191894</v>
      </c>
    </row>
    <row r="45" spans="7:18">
      <c r="G45" s="40" t="s">
        <v>531</v>
      </c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7" t="str">
        <f t="shared" si="4"/>
        <v/>
      </c>
    </row>
    <row r="46" spans="7:18">
      <c r="G46" s="11" t="s">
        <v>91</v>
      </c>
      <c r="H46" s="69">
        <f t="shared" ref="H46:R46" si="5">IF(COUNT(H40:H45),SUM(H40:H45),"")</f>
        <v>61759483</v>
      </c>
      <c r="I46" s="69">
        <f t="shared" si="5"/>
        <v>0</v>
      </c>
      <c r="J46" s="69">
        <f t="shared" si="5"/>
        <v>604417</v>
      </c>
      <c r="K46" s="69">
        <f t="shared" si="5"/>
        <v>125936</v>
      </c>
      <c r="L46" s="69">
        <f t="shared" si="5"/>
        <v>894939</v>
      </c>
      <c r="M46" s="69">
        <f t="shared" si="5"/>
        <v>5607382</v>
      </c>
      <c r="N46" s="69" t="str">
        <f t="shared" si="5"/>
        <v/>
      </c>
      <c r="O46" s="69" t="str">
        <f t="shared" si="5"/>
        <v/>
      </c>
      <c r="P46" s="69" t="str">
        <f t="shared" si="5"/>
        <v/>
      </c>
      <c r="Q46" s="69" t="str">
        <f t="shared" si="5"/>
        <v/>
      </c>
      <c r="R46" s="69">
        <f t="shared" si="5"/>
        <v>68992157</v>
      </c>
    </row>
    <row r="47" spans="7:18">
      <c r="G47" s="41" t="s">
        <v>92</v>
      </c>
      <c r="H47" s="81">
        <v>1899080</v>
      </c>
      <c r="I47" s="81">
        <v>3452415</v>
      </c>
      <c r="J47" s="81">
        <v>0</v>
      </c>
      <c r="K47" s="81">
        <v>0</v>
      </c>
      <c r="L47" s="81">
        <v>0</v>
      </c>
      <c r="M47" s="81">
        <v>2434667</v>
      </c>
      <c r="N47" s="81"/>
      <c r="O47" s="81"/>
      <c r="P47" s="81"/>
      <c r="Q47" s="81"/>
      <c r="R47" s="84">
        <f t="shared" ref="R47" si="6">IF(COUNT(H47:Q47),SUM(H47:Q47),"")</f>
        <v>7786162</v>
      </c>
    </row>
    <row r="48" spans="7:18">
      <c r="G48" s="7" t="s">
        <v>93</v>
      </c>
      <c r="H48" s="207"/>
      <c r="I48" s="208"/>
      <c r="J48" s="208"/>
      <c r="K48" s="208"/>
      <c r="L48" s="208"/>
      <c r="M48" s="208"/>
      <c r="N48" s="208"/>
      <c r="O48" s="208"/>
      <c r="P48" s="208"/>
      <c r="Q48" s="208"/>
      <c r="R48" s="209"/>
    </row>
    <row r="49" spans="7:18">
      <c r="G49" s="38" t="s">
        <v>94</v>
      </c>
      <c r="H49" s="63">
        <v>0</v>
      </c>
      <c r="I49" s="63">
        <v>3213636</v>
      </c>
      <c r="J49" s="63">
        <v>0</v>
      </c>
      <c r="K49" s="63">
        <v>0</v>
      </c>
      <c r="L49" s="63">
        <v>0</v>
      </c>
      <c r="M49" s="63">
        <v>0</v>
      </c>
      <c r="N49" s="63"/>
      <c r="O49" s="63"/>
      <c r="P49" s="63"/>
      <c r="Q49" s="63"/>
      <c r="R49" s="68">
        <f t="shared" ref="R49:R51" si="7">IF(COUNT(H49:Q49),SUM(H49:Q49),"")</f>
        <v>3213636</v>
      </c>
    </row>
    <row r="50" spans="7:18">
      <c r="G50" s="150" t="s">
        <v>479</v>
      </c>
      <c r="H50" s="115">
        <v>0</v>
      </c>
      <c r="I50" s="115">
        <v>320856</v>
      </c>
      <c r="J50" s="115">
        <v>0</v>
      </c>
      <c r="K50" s="115">
        <v>0</v>
      </c>
      <c r="L50" s="115">
        <v>0</v>
      </c>
      <c r="M50" s="115">
        <v>0</v>
      </c>
      <c r="N50" s="115"/>
      <c r="O50" s="115"/>
      <c r="P50" s="115"/>
      <c r="Q50" s="115"/>
      <c r="R50" s="151">
        <f t="shared" ref="R50" si="8">IF(COUNT(H50:Q50),SUM(H50:Q50),"")</f>
        <v>320856</v>
      </c>
    </row>
    <row r="51" spans="7:18">
      <c r="G51" s="40" t="s">
        <v>556</v>
      </c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7" t="str">
        <f t="shared" si="7"/>
        <v/>
      </c>
    </row>
    <row r="52" spans="7:18">
      <c r="G52" s="11" t="s">
        <v>95</v>
      </c>
      <c r="H52" s="69">
        <f>IF(COUNT(H49:H51),SUM(H49:H51),"")</f>
        <v>0</v>
      </c>
      <c r="I52" s="69">
        <f t="shared" ref="I52:L52" si="9">IF(COUNT(I49:I51),SUM(I49:I51),"")</f>
        <v>3534492</v>
      </c>
      <c r="J52" s="69">
        <f t="shared" si="9"/>
        <v>0</v>
      </c>
      <c r="K52" s="69">
        <f t="shared" si="9"/>
        <v>0</v>
      </c>
      <c r="L52" s="69">
        <f t="shared" si="9"/>
        <v>0</v>
      </c>
      <c r="M52" s="69">
        <f t="shared" ref="M52:R52" si="10">IF(COUNT(M49:M51),SUM(M49:M51),"")</f>
        <v>0</v>
      </c>
      <c r="N52" s="69" t="str">
        <f t="shared" si="10"/>
        <v/>
      </c>
      <c r="O52" s="69" t="str">
        <f t="shared" si="10"/>
        <v/>
      </c>
      <c r="P52" s="69" t="str">
        <f t="shared" si="10"/>
        <v/>
      </c>
      <c r="Q52" s="69" t="str">
        <f t="shared" si="10"/>
        <v/>
      </c>
      <c r="R52" s="69">
        <f t="shared" si="10"/>
        <v>3534492</v>
      </c>
    </row>
    <row r="53" spans="7:18">
      <c r="G53" s="11" t="s">
        <v>96</v>
      </c>
      <c r="H53" s="69">
        <f>IF(COUNT(H46,H47,H52),SUM(H46,H47,H52),"")</f>
        <v>63658563</v>
      </c>
      <c r="I53" s="69">
        <f t="shared" ref="I53:L53" si="11">IF(COUNT(I46,I47,I52),SUM(I46,I47,I52),"")</f>
        <v>6986907</v>
      </c>
      <c r="J53" s="69">
        <f t="shared" si="11"/>
        <v>604417</v>
      </c>
      <c r="K53" s="69">
        <f t="shared" si="11"/>
        <v>125936</v>
      </c>
      <c r="L53" s="69">
        <f t="shared" si="11"/>
        <v>894939</v>
      </c>
      <c r="M53" s="69">
        <f t="shared" ref="M53:R53" si="12">IF(COUNT(M46,M47,M52),SUM(M46,M47,M52),"")</f>
        <v>8042049</v>
      </c>
      <c r="N53" s="69" t="str">
        <f t="shared" si="12"/>
        <v/>
      </c>
      <c r="O53" s="69" t="str">
        <f t="shared" si="12"/>
        <v/>
      </c>
      <c r="P53" s="69" t="str">
        <f t="shared" si="12"/>
        <v/>
      </c>
      <c r="Q53" s="69" t="str">
        <f t="shared" si="12"/>
        <v/>
      </c>
      <c r="R53" s="69">
        <f t="shared" si="12"/>
        <v>80312811</v>
      </c>
    </row>
    <row r="54" spans="7:18" ht="30">
      <c r="G54" s="12" t="s">
        <v>97</v>
      </c>
      <c r="H54" s="69">
        <f t="shared" ref="H54:R54" si="13">IF(COUNT(H37,H53),SUM(H37)-SUM(H53),"")</f>
        <v>842730</v>
      </c>
      <c r="I54" s="69">
        <f t="shared" si="13"/>
        <v>1226592</v>
      </c>
      <c r="J54" s="69">
        <f t="shared" si="13"/>
        <v>79526</v>
      </c>
      <c r="K54" s="69">
        <f t="shared" si="13"/>
        <v>0</v>
      </c>
      <c r="L54" s="69">
        <f t="shared" si="13"/>
        <v>0</v>
      </c>
      <c r="M54" s="69">
        <f t="shared" si="13"/>
        <v>2397650</v>
      </c>
      <c r="N54" s="69" t="str">
        <f t="shared" si="13"/>
        <v/>
      </c>
      <c r="O54" s="69" t="str">
        <f t="shared" si="13"/>
        <v/>
      </c>
      <c r="P54" s="69" t="str">
        <f t="shared" si="13"/>
        <v/>
      </c>
      <c r="Q54" s="69" t="str">
        <f t="shared" si="13"/>
        <v/>
      </c>
      <c r="R54" s="69">
        <f t="shared" si="13"/>
        <v>4546498</v>
      </c>
    </row>
    <row r="55" spans="7:18">
      <c r="G55" s="5" t="s">
        <v>98</v>
      </c>
      <c r="H55" s="207"/>
      <c r="I55" s="208"/>
      <c r="J55" s="208"/>
      <c r="K55" s="208"/>
      <c r="L55" s="208"/>
      <c r="M55" s="208"/>
      <c r="N55" s="208"/>
      <c r="O55" s="208"/>
      <c r="P55" s="208"/>
      <c r="Q55" s="208"/>
      <c r="R55" s="209"/>
    </row>
    <row r="56" spans="7:18">
      <c r="G56" s="38" t="s">
        <v>557</v>
      </c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99" t="str">
        <f t="shared" ref="R56:R62" si="14">IF(COUNT(H56:Q56),SUM(H56:Q56),"")</f>
        <v/>
      </c>
    </row>
    <row r="57" spans="7:18">
      <c r="G57" s="161" t="s">
        <v>558</v>
      </c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 t="str">
        <f t="shared" si="14"/>
        <v/>
      </c>
    </row>
    <row r="58" spans="7:18" ht="33" customHeight="1">
      <c r="G58" s="162" t="s">
        <v>559</v>
      </c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 t="str">
        <f t="shared" si="14"/>
        <v/>
      </c>
    </row>
    <row r="59" spans="7:18">
      <c r="G59" s="161" t="s">
        <v>185</v>
      </c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 t="str">
        <f t="shared" si="14"/>
        <v/>
      </c>
    </row>
    <row r="60" spans="7:18">
      <c r="G60" s="161" t="s">
        <v>560</v>
      </c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 t="str">
        <f t="shared" si="14"/>
        <v/>
      </c>
    </row>
    <row r="61" spans="7:18">
      <c r="G61" s="161" t="s">
        <v>99</v>
      </c>
      <c r="H61" s="64">
        <v>0</v>
      </c>
      <c r="I61" s="64">
        <v>0</v>
      </c>
      <c r="J61" s="64">
        <v>0</v>
      </c>
      <c r="K61" s="64">
        <v>0</v>
      </c>
      <c r="L61" s="64">
        <v>0</v>
      </c>
      <c r="M61" s="64">
        <v>90000</v>
      </c>
      <c r="N61" s="64"/>
      <c r="O61" s="64"/>
      <c r="P61" s="64"/>
      <c r="Q61" s="64"/>
      <c r="R61" s="64">
        <f t="shared" si="14"/>
        <v>90000</v>
      </c>
    </row>
    <row r="62" spans="7:18">
      <c r="G62" s="40" t="s">
        <v>100</v>
      </c>
      <c r="H62" s="66">
        <v>0</v>
      </c>
      <c r="I62" s="66">
        <v>0</v>
      </c>
      <c r="J62" s="66">
        <v>0</v>
      </c>
      <c r="K62" s="66">
        <v>0</v>
      </c>
      <c r="L62" s="66">
        <v>0</v>
      </c>
      <c r="M62" s="66">
        <v>45000</v>
      </c>
      <c r="N62" s="66"/>
      <c r="O62" s="66"/>
      <c r="P62" s="66"/>
      <c r="Q62" s="66"/>
      <c r="R62" s="66">
        <f t="shared" si="14"/>
        <v>45000</v>
      </c>
    </row>
    <row r="63" spans="7:18">
      <c r="G63" s="13" t="s">
        <v>101</v>
      </c>
      <c r="H63" s="69">
        <f>IF(COUNT(H56:H62),SUM(H56:H57,H59:H61)-SUM(H58,H62),"")</f>
        <v>0</v>
      </c>
      <c r="I63" s="69">
        <f t="shared" ref="I63:R63" si="15">IF(COUNT(I56:I62),SUM(I56:I57,I59:I61)-SUM(I58,I62),"")</f>
        <v>0</v>
      </c>
      <c r="J63" s="69">
        <f t="shared" si="15"/>
        <v>0</v>
      </c>
      <c r="K63" s="69">
        <f t="shared" si="15"/>
        <v>0</v>
      </c>
      <c r="L63" s="69">
        <f t="shared" si="15"/>
        <v>0</v>
      </c>
      <c r="M63" s="69">
        <f t="shared" si="15"/>
        <v>45000</v>
      </c>
      <c r="N63" s="69" t="str">
        <f t="shared" si="15"/>
        <v/>
      </c>
      <c r="O63" s="69" t="str">
        <f t="shared" si="15"/>
        <v/>
      </c>
      <c r="P63" s="69" t="str">
        <f t="shared" si="15"/>
        <v/>
      </c>
      <c r="Q63" s="69" t="str">
        <f t="shared" si="15"/>
        <v/>
      </c>
      <c r="R63" s="69">
        <f t="shared" si="15"/>
        <v>45000</v>
      </c>
    </row>
    <row r="64" spans="7:18">
      <c r="G64" s="13" t="s">
        <v>102</v>
      </c>
      <c r="H64" s="69">
        <f t="shared" ref="H64:R64" si="16">IF(COUNT(H54,H63),SUM(H54,H63),"")</f>
        <v>842730</v>
      </c>
      <c r="I64" s="69">
        <f t="shared" si="16"/>
        <v>1226592</v>
      </c>
      <c r="J64" s="69">
        <f t="shared" si="16"/>
        <v>79526</v>
      </c>
      <c r="K64" s="69">
        <f t="shared" si="16"/>
        <v>0</v>
      </c>
      <c r="L64" s="69">
        <f t="shared" si="16"/>
        <v>0</v>
      </c>
      <c r="M64" s="69">
        <f t="shared" si="16"/>
        <v>2442650</v>
      </c>
      <c r="N64" s="69" t="str">
        <f t="shared" si="16"/>
        <v/>
      </c>
      <c r="O64" s="69" t="str">
        <f t="shared" si="16"/>
        <v/>
      </c>
      <c r="P64" s="69" t="str">
        <f t="shared" si="16"/>
        <v/>
      </c>
      <c r="Q64" s="69" t="str">
        <f t="shared" si="16"/>
        <v/>
      </c>
      <c r="R64" s="69">
        <f t="shared" si="16"/>
        <v>4591498</v>
      </c>
    </row>
    <row r="65" spans="7:18">
      <c r="G65" s="18" t="s">
        <v>103</v>
      </c>
      <c r="H65" s="165">
        <v>11831075</v>
      </c>
      <c r="I65" s="165">
        <v>8873163</v>
      </c>
      <c r="J65" s="165">
        <v>483567</v>
      </c>
      <c r="K65" s="165">
        <v>0</v>
      </c>
      <c r="L65" s="165">
        <v>0</v>
      </c>
      <c r="M65" s="165">
        <v>22372194</v>
      </c>
      <c r="N65" s="165"/>
      <c r="O65" s="165"/>
      <c r="P65" s="165"/>
      <c r="Q65" s="165"/>
      <c r="R65" s="166">
        <f t="shared" ref="R65" si="17">IF(COUNT(H65:Q65),SUM(H65:Q65),"")</f>
        <v>43559999</v>
      </c>
    </row>
    <row r="66" spans="7:18">
      <c r="G66" s="13" t="s">
        <v>104</v>
      </c>
      <c r="H66" s="85">
        <f>IF(COUNT(H64:H65),SUM(H64:H65),"")</f>
        <v>12673805</v>
      </c>
      <c r="I66" s="85">
        <f t="shared" ref="I66:R66" si="18">IF(COUNT(I64:I65),SUM(I64:I65),"")</f>
        <v>10099755</v>
      </c>
      <c r="J66" s="85">
        <f t="shared" si="18"/>
        <v>563093</v>
      </c>
      <c r="K66" s="85">
        <f t="shared" si="18"/>
        <v>0</v>
      </c>
      <c r="L66" s="85">
        <f t="shared" si="18"/>
        <v>0</v>
      </c>
      <c r="M66" s="85">
        <f t="shared" si="18"/>
        <v>24814844</v>
      </c>
      <c r="N66" s="85" t="str">
        <f t="shared" si="18"/>
        <v/>
      </c>
      <c r="O66" s="85" t="str">
        <f t="shared" si="18"/>
        <v/>
      </c>
      <c r="P66" s="85" t="str">
        <f t="shared" si="18"/>
        <v/>
      </c>
      <c r="Q66" s="85" t="str">
        <f t="shared" si="18"/>
        <v/>
      </c>
      <c r="R66" s="85">
        <f t="shared" si="18"/>
        <v>48151497</v>
      </c>
    </row>
    <row r="67" spans="7:18"/>
    <row r="68" spans="7:18" hidden="1"/>
    <row r="69" spans="7:18" hidden="1"/>
    <row r="70" spans="7:18" hidden="1"/>
    <row r="71" spans="7:18" hidden="1"/>
    <row r="72" spans="7:18" hidden="1"/>
    <row r="73" spans="7:18" hidden="1"/>
    <row r="74" spans="7:18" hidden="1"/>
    <row r="75" spans="7:18" hidden="1"/>
    <row r="76" spans="7:18" hidden="1"/>
    <row r="77" spans="7:18" hidden="1"/>
    <row r="78" spans="7:18" hidden="1"/>
    <row r="79" spans="7:18" hidden="1"/>
    <row r="80" spans="7:18" hidden="1"/>
    <row r="81" hidden="1"/>
    <row r="82" hidden="1"/>
    <row r="83" hidden="1"/>
  </sheetData>
  <sheetProtection algorithmName="SHA-512" hashValue="/5qqHvEBZn2MscOMMFEy8tUIM1NJwJOoF9LuAM41rps6lPgjbiMWYYXPqPpIsSoxvlTF4NQjaOjFeIcPvGnqUA==" saltValue="A4Y32c3W2iU1vJb6F02mXw==" spinCount="100000" sheet="1" objects="1" scenarios="1"/>
  <mergeCells count="5">
    <mergeCell ref="G10:Q10"/>
    <mergeCell ref="H38:R38"/>
    <mergeCell ref="H39:R39"/>
    <mergeCell ref="H48:R48"/>
    <mergeCell ref="H55:R55"/>
  </mergeCells>
  <dataValidations count="2">
    <dataValidation type="whole" allowBlank="1" showInputMessage="1" showErrorMessage="1" sqref="H13:R13 H14:R66">
      <formula1>-1.11111111111111E+35</formula1>
      <formula2>1.11111111111111E+38</formula2>
    </dataValidation>
    <dataValidation allowBlank="1" showInputMessage="1" showErrorMessage="1" prompt="Nature of other government fund" sqref="J11:Q11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E1:V138"/>
  <sheetViews>
    <sheetView showGridLines="0" topLeftCell="G9" workbookViewId="0">
      <selection activeCell="G9" sqref="G9"/>
    </sheetView>
  </sheetViews>
  <sheetFormatPr defaultColWidth="0" defaultRowHeight="15" zeroHeight="1"/>
  <cols>
    <col min="1" max="4" width="9.140625" hidden="1" customWidth="1"/>
    <col min="5" max="5" width="2" customWidth="1"/>
    <col min="6" max="6" width="2.28515625" customWidth="1"/>
    <col min="7" max="7" width="43.5703125" style="17" customWidth="1"/>
    <col min="8" max="8" width="17" style="17" customWidth="1"/>
    <col min="9" max="9" width="18.85546875" style="17" customWidth="1"/>
    <col min="10" max="13" width="16.42578125" style="17" customWidth="1"/>
    <col min="14" max="14" width="25.28515625" style="17" bestFit="1" customWidth="1"/>
    <col min="15" max="15" width="20.85546875" style="17" bestFit="1" customWidth="1"/>
    <col min="16" max="16" width="2.5703125" customWidth="1"/>
    <col min="17" max="17" width="2.28515625" customWidth="1"/>
    <col min="18" max="16384" width="9.140625" hidden="1"/>
  </cols>
  <sheetData>
    <row r="1" spans="7:15" hidden="1"/>
    <row r="2" spans="7:15" hidden="1"/>
    <row r="3" spans="7:15" hidden="1"/>
    <row r="4" spans="7:15" hidden="1"/>
    <row r="5" spans="7:15" hidden="1"/>
    <row r="6" spans="7:15" hidden="1"/>
    <row r="7" spans="7:15" hidden="1"/>
    <row r="8" spans="7:15" hidden="1"/>
    <row r="9" spans="7:15" s="190" customFormat="1" ht="39.950000000000003" customHeight="1"/>
    <row r="10" spans="7:15" ht="26.25" customHeight="1">
      <c r="G10" s="199" t="s">
        <v>240</v>
      </c>
      <c r="H10" s="200"/>
      <c r="I10" s="200"/>
      <c r="J10" s="200"/>
      <c r="K10" s="200"/>
      <c r="L10" s="200"/>
      <c r="M10" s="200"/>
      <c r="N10" s="201"/>
      <c r="O10" s="136" t="s">
        <v>657</v>
      </c>
    </row>
    <row r="11" spans="7:15" ht="25.5" customHeight="1">
      <c r="G11" s="202" t="s">
        <v>3</v>
      </c>
      <c r="H11" s="199" t="s">
        <v>105</v>
      </c>
      <c r="I11" s="200"/>
      <c r="J11" s="200"/>
      <c r="K11" s="200"/>
      <c r="L11" s="200"/>
      <c r="M11" s="200"/>
      <c r="N11" s="201"/>
      <c r="O11" s="202" t="s">
        <v>107</v>
      </c>
    </row>
    <row r="12" spans="7:15" ht="30">
      <c r="G12" s="203"/>
      <c r="H12" s="8" t="s">
        <v>229</v>
      </c>
      <c r="I12" s="8" t="s">
        <v>214</v>
      </c>
      <c r="J12" s="8" t="s">
        <v>215</v>
      </c>
      <c r="K12" s="8" t="s">
        <v>533</v>
      </c>
      <c r="L12" s="8" t="s">
        <v>534</v>
      </c>
      <c r="M12" s="8" t="s">
        <v>535</v>
      </c>
      <c r="N12" s="8" t="s">
        <v>106</v>
      </c>
      <c r="O12" s="203"/>
    </row>
    <row r="13" spans="7:15">
      <c r="G13" s="5" t="s">
        <v>4</v>
      </c>
      <c r="H13" s="204"/>
      <c r="I13" s="205"/>
      <c r="J13" s="205"/>
      <c r="K13" s="205"/>
      <c r="L13" s="205"/>
      <c r="M13" s="205"/>
      <c r="N13" s="205"/>
      <c r="O13" s="206"/>
    </row>
    <row r="14" spans="7:15">
      <c r="G14" s="7" t="s">
        <v>108</v>
      </c>
      <c r="H14" s="204"/>
      <c r="I14" s="205"/>
      <c r="J14" s="205"/>
      <c r="K14" s="205"/>
      <c r="L14" s="205"/>
      <c r="M14" s="205"/>
      <c r="N14" s="205"/>
      <c r="O14" s="206"/>
    </row>
    <row r="15" spans="7:15">
      <c r="G15" s="86" t="s">
        <v>493</v>
      </c>
      <c r="H15" s="63">
        <v>16559531</v>
      </c>
      <c r="I15" s="63">
        <v>6643911</v>
      </c>
      <c r="J15" s="63">
        <v>421968</v>
      </c>
      <c r="K15" s="63"/>
      <c r="L15" s="63"/>
      <c r="M15" s="63"/>
      <c r="N15" s="99">
        <f t="shared" ref="N15:N22" si="0">IF(COUNT(H15:J15),SUM(H15:J15),"")</f>
        <v>23625410</v>
      </c>
      <c r="O15" s="100">
        <v>5907363</v>
      </c>
    </row>
    <row r="16" spans="7:15">
      <c r="G16" s="87" t="s">
        <v>109</v>
      </c>
      <c r="H16" s="64">
        <v>308030</v>
      </c>
      <c r="I16" s="64">
        <v>48301</v>
      </c>
      <c r="J16" s="64">
        <v>3223</v>
      </c>
      <c r="K16" s="64"/>
      <c r="L16" s="64"/>
      <c r="M16" s="64"/>
      <c r="N16" s="101">
        <f t="shared" si="0"/>
        <v>359554</v>
      </c>
      <c r="O16" s="102">
        <v>39844</v>
      </c>
    </row>
    <row r="17" spans="7:15">
      <c r="G17" s="87" t="s">
        <v>110</v>
      </c>
      <c r="H17" s="64">
        <v>1818940</v>
      </c>
      <c r="I17" s="64">
        <v>1030438</v>
      </c>
      <c r="J17" s="64">
        <v>0</v>
      </c>
      <c r="K17" s="64"/>
      <c r="L17" s="64"/>
      <c r="M17" s="64"/>
      <c r="N17" s="101">
        <f t="shared" si="0"/>
        <v>2849378</v>
      </c>
      <c r="O17" s="102">
        <v>2638</v>
      </c>
    </row>
    <row r="18" spans="7:15">
      <c r="G18" s="87" t="s">
        <v>111</v>
      </c>
      <c r="H18" s="64">
        <v>1995011</v>
      </c>
      <c r="I18" s="64">
        <v>593302</v>
      </c>
      <c r="J18" s="64">
        <v>0</v>
      </c>
      <c r="K18" s="64"/>
      <c r="L18" s="64"/>
      <c r="M18" s="64"/>
      <c r="N18" s="101">
        <f t="shared" si="0"/>
        <v>2588313</v>
      </c>
      <c r="O18" s="102">
        <v>0</v>
      </c>
    </row>
    <row r="19" spans="7:15">
      <c r="G19" s="87" t="s">
        <v>112</v>
      </c>
      <c r="H19" s="64">
        <v>5344</v>
      </c>
      <c r="I19" s="64">
        <v>0</v>
      </c>
      <c r="J19" s="64">
        <v>0</v>
      </c>
      <c r="K19" s="64"/>
      <c r="L19" s="64"/>
      <c r="M19" s="64"/>
      <c r="N19" s="101">
        <f t="shared" si="0"/>
        <v>5344</v>
      </c>
      <c r="O19" s="102">
        <v>247085</v>
      </c>
    </row>
    <row r="20" spans="7:15">
      <c r="G20" s="87" t="s">
        <v>113</v>
      </c>
      <c r="H20" s="64">
        <v>647971</v>
      </c>
      <c r="I20" s="64">
        <v>0</v>
      </c>
      <c r="J20" s="64">
        <v>4523</v>
      </c>
      <c r="K20" s="64"/>
      <c r="L20" s="64"/>
      <c r="M20" s="64"/>
      <c r="N20" s="101">
        <f t="shared" si="0"/>
        <v>652494</v>
      </c>
      <c r="O20" s="102">
        <v>135961</v>
      </c>
    </row>
    <row r="21" spans="7:15">
      <c r="G21" s="87" t="s">
        <v>561</v>
      </c>
      <c r="H21" s="64"/>
      <c r="I21" s="64"/>
      <c r="J21" s="64"/>
      <c r="K21" s="64"/>
      <c r="L21" s="64"/>
      <c r="M21" s="64"/>
      <c r="N21" s="101" t="str">
        <f t="shared" si="0"/>
        <v/>
      </c>
      <c r="O21" s="102"/>
    </row>
    <row r="22" spans="7:15">
      <c r="G22" s="88" t="s">
        <v>483</v>
      </c>
      <c r="H22" s="64"/>
      <c r="I22" s="66"/>
      <c r="J22" s="66"/>
      <c r="K22" s="66">
        <v>0</v>
      </c>
      <c r="L22" s="66">
        <v>0</v>
      </c>
      <c r="M22" s="66">
        <v>0</v>
      </c>
      <c r="N22" s="103" t="str">
        <f t="shared" si="0"/>
        <v/>
      </c>
      <c r="O22" s="104">
        <v>622247</v>
      </c>
    </row>
    <row r="23" spans="7:15">
      <c r="G23" s="89" t="s">
        <v>114</v>
      </c>
      <c r="H23" s="69">
        <f>IF(COUNT(H15:H22),SUM(H15:H22),"")</f>
        <v>21334827</v>
      </c>
      <c r="I23" s="69">
        <f t="shared" ref="I23:M23" si="1">IF(COUNT(I15:I22),SUM(I15:I22),"")</f>
        <v>8315952</v>
      </c>
      <c r="J23" s="69">
        <f t="shared" si="1"/>
        <v>429714</v>
      </c>
      <c r="K23" s="69">
        <f t="shared" si="1"/>
        <v>0</v>
      </c>
      <c r="L23" s="69">
        <f t="shared" si="1"/>
        <v>0</v>
      </c>
      <c r="M23" s="69">
        <f t="shared" si="1"/>
        <v>0</v>
      </c>
      <c r="N23" s="69">
        <f t="shared" ref="N23" si="2">IF(COUNT(N15:N22),SUM(N15:N22),"")</f>
        <v>30080493</v>
      </c>
      <c r="O23" s="69">
        <f t="shared" ref="O23" si="3">IF(COUNT(O15:O22),SUM(O15:O22),"")</f>
        <v>6955138</v>
      </c>
    </row>
    <row r="24" spans="7:15">
      <c r="G24" s="90" t="s">
        <v>115</v>
      </c>
      <c r="H24" s="207"/>
      <c r="I24" s="208"/>
      <c r="J24" s="208"/>
      <c r="K24" s="208"/>
      <c r="L24" s="208"/>
      <c r="M24" s="208"/>
      <c r="N24" s="208"/>
      <c r="O24" s="209"/>
    </row>
    <row r="25" spans="7:15">
      <c r="G25" s="91" t="s">
        <v>116</v>
      </c>
      <c r="H25" s="63">
        <v>8923251</v>
      </c>
      <c r="I25" s="63">
        <v>0</v>
      </c>
      <c r="J25" s="63">
        <v>0</v>
      </c>
      <c r="K25" s="63"/>
      <c r="L25" s="63"/>
      <c r="M25" s="63"/>
      <c r="N25" s="99">
        <f>IF(COUNT(H25:J25),SUM(H25:J25),"")</f>
        <v>8923251</v>
      </c>
      <c r="O25" s="100">
        <v>0</v>
      </c>
    </row>
    <row r="26" spans="7:15">
      <c r="G26" s="92" t="s">
        <v>117</v>
      </c>
      <c r="H26" s="66">
        <v>63357</v>
      </c>
      <c r="I26" s="66">
        <v>0</v>
      </c>
      <c r="J26" s="66">
        <v>0</v>
      </c>
      <c r="K26" s="66"/>
      <c r="L26" s="66"/>
      <c r="M26" s="66"/>
      <c r="N26" s="103">
        <f>IF(COUNT(H26:J26),SUM(H26:J26),"")</f>
        <v>63357</v>
      </c>
      <c r="O26" s="104">
        <v>0</v>
      </c>
    </row>
    <row r="27" spans="7:15">
      <c r="G27" s="89" t="s">
        <v>118</v>
      </c>
      <c r="H27" s="69">
        <f>IF(COUNT(H25:H26),SUM(H25:H26),"")</f>
        <v>8986608</v>
      </c>
      <c r="I27" s="69">
        <f t="shared" ref="I27:M27" si="4">IF(COUNT(I25:I26),SUM(I25:I26),"")</f>
        <v>0</v>
      </c>
      <c r="J27" s="69">
        <f t="shared" si="4"/>
        <v>0</v>
      </c>
      <c r="K27" s="69" t="str">
        <f t="shared" si="4"/>
        <v/>
      </c>
      <c r="L27" s="69" t="str">
        <f t="shared" si="4"/>
        <v/>
      </c>
      <c r="M27" s="69" t="str">
        <f t="shared" si="4"/>
        <v/>
      </c>
      <c r="N27" s="69">
        <f t="shared" ref="N27" si="5">IF(COUNT(N25:N26),SUM(N25:N26),"")</f>
        <v>8986608</v>
      </c>
      <c r="O27" s="69">
        <f t="shared" ref="O27" si="6">IF(COUNT(O25:O26),SUM(O25:O26),"")</f>
        <v>0</v>
      </c>
    </row>
    <row r="28" spans="7:15">
      <c r="G28" s="90" t="s">
        <v>119</v>
      </c>
      <c r="H28" s="207"/>
      <c r="I28" s="208"/>
      <c r="J28" s="208"/>
      <c r="K28" s="208"/>
      <c r="L28" s="208"/>
      <c r="M28" s="208"/>
      <c r="N28" s="208"/>
      <c r="O28" s="209"/>
    </row>
    <row r="29" spans="7:15">
      <c r="G29" s="93" t="s">
        <v>477</v>
      </c>
      <c r="H29" s="63">
        <v>1573206</v>
      </c>
      <c r="I29" s="63">
        <v>375000</v>
      </c>
      <c r="J29" s="63">
        <v>875832</v>
      </c>
      <c r="K29" s="63"/>
      <c r="L29" s="63"/>
      <c r="M29" s="63"/>
      <c r="N29" s="99">
        <f t="shared" ref="N29:N34" si="7">IF(COUNT(H29:J29),SUM(H29:J29),"")</f>
        <v>2824038</v>
      </c>
      <c r="O29" s="100">
        <v>0</v>
      </c>
    </row>
    <row r="30" spans="7:15">
      <c r="G30" s="94" t="s">
        <v>120</v>
      </c>
      <c r="H30" s="64">
        <v>2848632</v>
      </c>
      <c r="I30" s="64">
        <v>402726</v>
      </c>
      <c r="J30" s="64">
        <v>1218146</v>
      </c>
      <c r="K30" s="64"/>
      <c r="L30" s="64"/>
      <c r="M30" s="64"/>
      <c r="N30" s="101">
        <f t="shared" si="7"/>
        <v>4469504</v>
      </c>
      <c r="O30" s="102">
        <v>5270</v>
      </c>
    </row>
    <row r="31" spans="7:15">
      <c r="G31" s="94" t="s">
        <v>121</v>
      </c>
      <c r="H31" s="64">
        <v>142803432</v>
      </c>
      <c r="I31" s="64">
        <v>72463</v>
      </c>
      <c r="J31" s="64">
        <v>2036487</v>
      </c>
      <c r="K31" s="64"/>
      <c r="L31" s="64"/>
      <c r="M31" s="64"/>
      <c r="N31" s="101">
        <f t="shared" si="7"/>
        <v>144912382</v>
      </c>
      <c r="O31" s="102">
        <v>86746</v>
      </c>
    </row>
    <row r="32" spans="7:15">
      <c r="G32" s="94" t="s">
        <v>494</v>
      </c>
      <c r="H32" s="64">
        <v>9076020</v>
      </c>
      <c r="I32" s="64">
        <v>11711915</v>
      </c>
      <c r="J32" s="64">
        <v>450178</v>
      </c>
      <c r="K32" s="64"/>
      <c r="L32" s="64"/>
      <c r="M32" s="64"/>
      <c r="N32" s="101">
        <f t="shared" si="7"/>
        <v>21238113</v>
      </c>
      <c r="O32" s="102">
        <v>521822</v>
      </c>
    </row>
    <row r="33" spans="7:15">
      <c r="G33" s="94" t="s">
        <v>123</v>
      </c>
      <c r="H33" s="105">
        <v>-117482423</v>
      </c>
      <c r="I33" s="105">
        <v>-6181082</v>
      </c>
      <c r="J33" s="105">
        <v>-2447439</v>
      </c>
      <c r="K33" s="105"/>
      <c r="L33" s="105"/>
      <c r="M33" s="105"/>
      <c r="N33" s="106">
        <f t="shared" si="7"/>
        <v>-126110944</v>
      </c>
      <c r="O33" s="107">
        <v>-418323</v>
      </c>
    </row>
    <row r="34" spans="7:15">
      <c r="G34" s="95" t="s">
        <v>495</v>
      </c>
      <c r="H34" s="66">
        <v>75122876</v>
      </c>
      <c r="I34" s="66">
        <v>927596</v>
      </c>
      <c r="J34" s="66">
        <v>0</v>
      </c>
      <c r="K34" s="66"/>
      <c r="L34" s="66"/>
      <c r="M34" s="66"/>
      <c r="N34" s="103">
        <f t="shared" si="7"/>
        <v>76050472</v>
      </c>
      <c r="O34" s="104">
        <v>70</v>
      </c>
    </row>
    <row r="35" spans="7:15">
      <c r="G35" s="89" t="s">
        <v>122</v>
      </c>
      <c r="H35" s="69">
        <f>IF(COUNT(H29:H34),SUM(H29:H32)+SUM(H33)+SUM(H34),"")</f>
        <v>113941743</v>
      </c>
      <c r="I35" s="69">
        <f t="shared" ref="I35:O35" si="8">IF(COUNT(I29:I34),SUM(I29:I32)+SUM(I33)+SUM(I34),"")</f>
        <v>7308618</v>
      </c>
      <c r="J35" s="69">
        <f t="shared" si="8"/>
        <v>2133204</v>
      </c>
      <c r="K35" s="69" t="str">
        <f t="shared" si="8"/>
        <v/>
      </c>
      <c r="L35" s="69" t="str">
        <f t="shared" si="8"/>
        <v/>
      </c>
      <c r="M35" s="69" t="str">
        <f t="shared" si="8"/>
        <v/>
      </c>
      <c r="N35" s="69">
        <f t="shared" si="8"/>
        <v>123383565</v>
      </c>
      <c r="O35" s="69">
        <f t="shared" si="8"/>
        <v>195585</v>
      </c>
    </row>
    <row r="36" spans="7:15">
      <c r="G36" s="95" t="s">
        <v>562</v>
      </c>
      <c r="H36" s="66"/>
      <c r="I36" s="66"/>
      <c r="J36" s="66"/>
      <c r="K36" s="66"/>
      <c r="L36" s="66"/>
      <c r="M36" s="66"/>
      <c r="N36" s="103" t="str">
        <f>IF(COUNT(H36:J36),SUM(H36:J36),"")</f>
        <v/>
      </c>
      <c r="O36" s="104"/>
    </row>
    <row r="37" spans="7:15">
      <c r="G37" s="89" t="s">
        <v>118</v>
      </c>
      <c r="H37" s="69">
        <f>IF(COUNT(H27,H35,H36),SUM(H27,H35,H36),"")</f>
        <v>122928351</v>
      </c>
      <c r="I37" s="69">
        <f t="shared" ref="I37:O37" si="9">IF(COUNT(I27,I35,I36),SUM(I27,I35,I36),"")</f>
        <v>7308618</v>
      </c>
      <c r="J37" s="69">
        <f t="shared" si="9"/>
        <v>2133204</v>
      </c>
      <c r="K37" s="69" t="str">
        <f t="shared" ref="K37:M37" si="10">IF(COUNT(K27,K35,K36),SUM(K27,K35,K36),"")</f>
        <v/>
      </c>
      <c r="L37" s="69" t="str">
        <f t="shared" si="10"/>
        <v/>
      </c>
      <c r="M37" s="69" t="str">
        <f t="shared" si="10"/>
        <v/>
      </c>
      <c r="N37" s="69">
        <f t="shared" si="9"/>
        <v>132370173</v>
      </c>
      <c r="O37" s="69">
        <f t="shared" si="9"/>
        <v>195585</v>
      </c>
    </row>
    <row r="38" spans="7:15">
      <c r="G38" s="89" t="s">
        <v>485</v>
      </c>
      <c r="H38" s="69">
        <f>IF(COUNT(H23,H37),SUM(H23,H37),"")</f>
        <v>144263178</v>
      </c>
      <c r="I38" s="69">
        <f t="shared" ref="I38:J38" si="11">IF(COUNT(I23,I37),SUM(I23,I37),"")</f>
        <v>15624570</v>
      </c>
      <c r="J38" s="69">
        <f t="shared" si="11"/>
        <v>2562918</v>
      </c>
      <c r="K38" s="69">
        <f t="shared" ref="K38:M38" si="12">IF(COUNT(K23,K37),SUM(K23,K37),"")</f>
        <v>0</v>
      </c>
      <c r="L38" s="69">
        <f t="shared" si="12"/>
        <v>0</v>
      </c>
      <c r="M38" s="69">
        <f t="shared" si="12"/>
        <v>0</v>
      </c>
      <c r="N38" s="69">
        <f t="shared" ref="N38" si="13">IF(COUNT(N23,N37),SUM(N23,N37),"")</f>
        <v>162450666</v>
      </c>
      <c r="O38" s="69">
        <f t="shared" ref="O38" si="14">IF(COUNT(O23,O37),SUM(O23,O37),"")</f>
        <v>7150723</v>
      </c>
    </row>
    <row r="39" spans="7:15">
      <c r="G39" s="96" t="s">
        <v>124</v>
      </c>
      <c r="H39" s="81">
        <v>0</v>
      </c>
      <c r="I39" s="81">
        <v>0</v>
      </c>
      <c r="J39" s="81">
        <v>0</v>
      </c>
      <c r="K39" s="81"/>
      <c r="L39" s="81"/>
      <c r="M39" s="81"/>
      <c r="N39" s="84">
        <f>IF(COUNT(H39:J39),SUM(H39:J39),"")</f>
        <v>0</v>
      </c>
      <c r="O39" s="81">
        <v>0</v>
      </c>
    </row>
    <row r="40" spans="7:15">
      <c r="G40" s="97" t="s">
        <v>26</v>
      </c>
      <c r="H40" s="207"/>
      <c r="I40" s="208"/>
      <c r="J40" s="208"/>
      <c r="K40" s="208"/>
      <c r="L40" s="208"/>
      <c r="M40" s="208"/>
      <c r="N40" s="208"/>
      <c r="O40" s="209"/>
    </row>
    <row r="41" spans="7:15">
      <c r="G41" s="90" t="s">
        <v>125</v>
      </c>
      <c r="H41" s="207"/>
      <c r="I41" s="208"/>
      <c r="J41" s="208"/>
      <c r="K41" s="208"/>
      <c r="L41" s="208"/>
      <c r="M41" s="208"/>
      <c r="N41" s="208"/>
      <c r="O41" s="209"/>
    </row>
    <row r="42" spans="7:15">
      <c r="G42" s="91" t="s">
        <v>496</v>
      </c>
      <c r="H42" s="63">
        <v>9662097</v>
      </c>
      <c r="I42" s="63">
        <v>1246333</v>
      </c>
      <c r="J42" s="63">
        <v>27796</v>
      </c>
      <c r="K42" s="63"/>
      <c r="L42" s="63"/>
      <c r="M42" s="63"/>
      <c r="N42" s="99">
        <f>IF(COUNT(H42:J42),SUM(H42:J42),"")</f>
        <v>10936226</v>
      </c>
      <c r="O42" s="100">
        <v>380881</v>
      </c>
    </row>
    <row r="43" spans="7:15">
      <c r="G43" s="98" t="s">
        <v>498</v>
      </c>
      <c r="H43" s="64">
        <v>337060</v>
      </c>
      <c r="I43" s="64">
        <v>178425</v>
      </c>
      <c r="J43" s="64">
        <v>19555</v>
      </c>
      <c r="K43" s="64"/>
      <c r="L43" s="64"/>
      <c r="M43" s="64"/>
      <c r="N43" s="101">
        <f>IF(COUNT(H43:J43),SUM(H43:J43),"")</f>
        <v>535040</v>
      </c>
      <c r="O43" s="102">
        <v>100703</v>
      </c>
    </row>
    <row r="44" spans="7:15">
      <c r="G44" s="98" t="s">
        <v>126</v>
      </c>
      <c r="H44" s="64">
        <v>19234</v>
      </c>
      <c r="I44" s="64">
        <v>0</v>
      </c>
      <c r="J44" s="64">
        <v>0</v>
      </c>
      <c r="K44" s="64"/>
      <c r="L44" s="64"/>
      <c r="M44" s="64"/>
      <c r="N44" s="101">
        <f>IF(COUNT(H44:J44),SUM(H44:J44),"")</f>
        <v>19234</v>
      </c>
      <c r="O44" s="102">
        <v>0</v>
      </c>
    </row>
    <row r="45" spans="7:15">
      <c r="G45" s="98" t="s">
        <v>127</v>
      </c>
      <c r="H45" s="64">
        <v>1102809</v>
      </c>
      <c r="I45" s="64">
        <v>0</v>
      </c>
      <c r="J45" s="64">
        <v>0</v>
      </c>
      <c r="K45" s="64"/>
      <c r="L45" s="64"/>
      <c r="M45" s="64"/>
      <c r="N45" s="101">
        <f>IF(COUNT(H45:J45),SUM(H45:J45),"")</f>
        <v>1102809</v>
      </c>
      <c r="O45" s="102">
        <v>0</v>
      </c>
    </row>
    <row r="46" spans="7:15">
      <c r="G46" s="152" t="s">
        <v>500</v>
      </c>
      <c r="H46" s="142">
        <v>32661</v>
      </c>
      <c r="I46" s="142">
        <v>0</v>
      </c>
      <c r="J46" s="142">
        <v>0</v>
      </c>
      <c r="K46" s="142"/>
      <c r="L46" s="142"/>
      <c r="M46" s="142"/>
      <c r="N46" s="101">
        <f t="shared" ref="N46:N55" si="15">IF(COUNT(H46:J46),SUM(H46:J46),"")</f>
        <v>32661</v>
      </c>
      <c r="O46" s="153">
        <v>0</v>
      </c>
    </row>
    <row r="47" spans="7:15">
      <c r="G47" s="152" t="s">
        <v>542</v>
      </c>
      <c r="H47" s="142"/>
      <c r="I47" s="142"/>
      <c r="J47" s="142"/>
      <c r="K47" s="142"/>
      <c r="L47" s="142"/>
      <c r="M47" s="142"/>
      <c r="N47" s="101" t="str">
        <f t="shared" si="15"/>
        <v/>
      </c>
      <c r="O47" s="153"/>
    </row>
    <row r="48" spans="7:15">
      <c r="G48" s="152" t="s">
        <v>563</v>
      </c>
      <c r="H48" s="142"/>
      <c r="I48" s="142"/>
      <c r="J48" s="142"/>
      <c r="K48" s="142"/>
      <c r="L48" s="142"/>
      <c r="M48" s="142"/>
      <c r="N48" s="101" t="str">
        <f t="shared" si="15"/>
        <v/>
      </c>
      <c r="O48" s="153"/>
    </row>
    <row r="49" spans="7:15">
      <c r="G49" s="152" t="s">
        <v>67</v>
      </c>
      <c r="H49" s="142"/>
      <c r="I49" s="142"/>
      <c r="J49" s="142"/>
      <c r="K49" s="142"/>
      <c r="L49" s="142"/>
      <c r="M49" s="142"/>
      <c r="N49" s="101" t="str">
        <f t="shared" si="15"/>
        <v/>
      </c>
      <c r="O49" s="153"/>
    </row>
    <row r="50" spans="7:15">
      <c r="G50" s="152" t="s">
        <v>65</v>
      </c>
      <c r="H50" s="142"/>
      <c r="I50" s="142"/>
      <c r="J50" s="142"/>
      <c r="K50" s="142"/>
      <c r="L50" s="142"/>
      <c r="M50" s="142"/>
      <c r="N50" s="101" t="str">
        <f t="shared" si="15"/>
        <v/>
      </c>
      <c r="O50" s="153"/>
    </row>
    <row r="51" spans="7:15">
      <c r="G51" s="152" t="s">
        <v>564</v>
      </c>
      <c r="H51" s="142"/>
      <c r="I51" s="142"/>
      <c r="J51" s="142"/>
      <c r="K51" s="142"/>
      <c r="L51" s="142"/>
      <c r="M51" s="142"/>
      <c r="N51" s="101" t="str">
        <f t="shared" si="15"/>
        <v/>
      </c>
      <c r="O51" s="153"/>
    </row>
    <row r="52" spans="7:15">
      <c r="G52" s="152" t="s">
        <v>565</v>
      </c>
      <c r="H52" s="142"/>
      <c r="I52" s="142"/>
      <c r="J52" s="142"/>
      <c r="K52" s="142"/>
      <c r="L52" s="142"/>
      <c r="M52" s="142"/>
      <c r="N52" s="101" t="str">
        <f t="shared" si="15"/>
        <v/>
      </c>
      <c r="O52" s="153"/>
    </row>
    <row r="53" spans="7:15">
      <c r="G53" s="154" t="s">
        <v>566</v>
      </c>
      <c r="H53" s="224"/>
      <c r="I53" s="225"/>
      <c r="J53" s="225"/>
      <c r="K53" s="225"/>
      <c r="L53" s="225"/>
      <c r="M53" s="225"/>
      <c r="N53" s="225"/>
      <c r="O53" s="226"/>
    </row>
    <row r="54" spans="7:15">
      <c r="G54" s="152" t="s">
        <v>126</v>
      </c>
      <c r="H54" s="142"/>
      <c r="I54" s="142"/>
      <c r="J54" s="142"/>
      <c r="K54" s="142"/>
      <c r="L54" s="142"/>
      <c r="M54" s="142"/>
      <c r="N54" s="101" t="str">
        <f t="shared" si="15"/>
        <v/>
      </c>
      <c r="O54" s="153"/>
    </row>
    <row r="55" spans="7:15">
      <c r="G55" s="152" t="s">
        <v>543</v>
      </c>
      <c r="H55" s="142"/>
      <c r="I55" s="142"/>
      <c r="J55" s="142"/>
      <c r="K55" s="142"/>
      <c r="L55" s="142"/>
      <c r="M55" s="142"/>
      <c r="N55" s="101" t="str">
        <f t="shared" si="15"/>
        <v/>
      </c>
      <c r="O55" s="153"/>
    </row>
    <row r="56" spans="7:15">
      <c r="G56" s="89" t="s">
        <v>567</v>
      </c>
      <c r="H56" s="69" t="str">
        <f>IF(COUNT(H54:H55),SUM(H54:H55),"")</f>
        <v/>
      </c>
      <c r="I56" s="69" t="str">
        <f t="shared" ref="I56:O56" si="16">IF(COUNT(I54:I55),SUM(I54:I55),"")</f>
        <v/>
      </c>
      <c r="J56" s="69" t="str">
        <f t="shared" si="16"/>
        <v/>
      </c>
      <c r="K56" s="69" t="str">
        <f t="shared" ref="K56:M56" si="17">IF(COUNT(K54:K55),SUM(K54:K55),"")</f>
        <v/>
      </c>
      <c r="L56" s="69" t="str">
        <f t="shared" si="17"/>
        <v/>
      </c>
      <c r="M56" s="69" t="str">
        <f t="shared" si="17"/>
        <v/>
      </c>
      <c r="N56" s="69" t="str">
        <f t="shared" si="16"/>
        <v/>
      </c>
      <c r="O56" s="69" t="str">
        <f t="shared" si="16"/>
        <v/>
      </c>
    </row>
    <row r="57" spans="7:15">
      <c r="G57" s="89" t="s">
        <v>128</v>
      </c>
      <c r="H57" s="69">
        <f>IF(COUNT(H42:H52,H56),SUM(H42:H52,H56),"")</f>
        <v>11153861</v>
      </c>
      <c r="I57" s="69">
        <f t="shared" ref="I57:O57" si="18">IF(COUNT(I42:I52,I56),SUM(I42:I52,I56),"")</f>
        <v>1424758</v>
      </c>
      <c r="J57" s="69">
        <f t="shared" si="18"/>
        <v>47351</v>
      </c>
      <c r="K57" s="69" t="str">
        <f t="shared" ref="K57:M57" si="19">IF(COUNT(K42:K52,K56),SUM(K42:K52,K56),"")</f>
        <v/>
      </c>
      <c r="L57" s="69" t="str">
        <f t="shared" si="19"/>
        <v/>
      </c>
      <c r="M57" s="69" t="str">
        <f t="shared" si="19"/>
        <v/>
      </c>
      <c r="N57" s="69">
        <f t="shared" si="18"/>
        <v>12625970</v>
      </c>
      <c r="O57" s="69">
        <f t="shared" si="18"/>
        <v>481584</v>
      </c>
    </row>
    <row r="58" spans="7:15">
      <c r="G58" s="90" t="s">
        <v>35</v>
      </c>
      <c r="H58" s="224"/>
      <c r="I58" s="225"/>
      <c r="J58" s="225"/>
      <c r="K58" s="225"/>
      <c r="L58" s="225"/>
      <c r="M58" s="225"/>
      <c r="N58" s="225"/>
      <c r="O58" s="226"/>
    </row>
    <row r="59" spans="7:15">
      <c r="G59" s="91" t="s">
        <v>502</v>
      </c>
      <c r="H59" s="63">
        <v>0</v>
      </c>
      <c r="I59" s="63">
        <v>0</v>
      </c>
      <c r="J59" s="63">
        <v>79318</v>
      </c>
      <c r="K59" s="63"/>
      <c r="L59" s="63"/>
      <c r="M59" s="63"/>
      <c r="N59" s="99">
        <f>IF(COUNT(H59:J59),SUM(H59:J59),"")</f>
        <v>79318</v>
      </c>
      <c r="O59" s="100">
        <v>515137</v>
      </c>
    </row>
    <row r="60" spans="7:15">
      <c r="G60" s="98" t="s">
        <v>129</v>
      </c>
      <c r="H60" s="64">
        <v>0</v>
      </c>
      <c r="I60" s="64">
        <v>0</v>
      </c>
      <c r="J60" s="64">
        <v>0</v>
      </c>
      <c r="K60" s="64"/>
      <c r="L60" s="64"/>
      <c r="M60" s="64"/>
      <c r="N60" s="101">
        <f>IF(COUNT(H60:J60),SUM(H60:J60),"")</f>
        <v>0</v>
      </c>
      <c r="O60" s="102">
        <v>1552000</v>
      </c>
    </row>
    <row r="61" spans="7:15">
      <c r="G61" s="98" t="s">
        <v>130</v>
      </c>
      <c r="H61" s="64">
        <v>38002</v>
      </c>
      <c r="I61" s="64">
        <v>64483</v>
      </c>
      <c r="J61" s="64">
        <v>16000</v>
      </c>
      <c r="K61" s="64"/>
      <c r="L61" s="64"/>
      <c r="M61" s="64"/>
      <c r="N61" s="101">
        <f>IF(COUNT(H61:J61),SUM(H61:J61),"")</f>
        <v>118485</v>
      </c>
      <c r="O61" s="102">
        <v>0</v>
      </c>
    </row>
    <row r="62" spans="7:15">
      <c r="G62" s="98" t="s">
        <v>478</v>
      </c>
      <c r="H62" s="64">
        <v>680000</v>
      </c>
      <c r="I62" s="64">
        <v>404000</v>
      </c>
      <c r="J62" s="64">
        <v>66000</v>
      </c>
      <c r="K62" s="64"/>
      <c r="L62" s="64"/>
      <c r="M62" s="64"/>
      <c r="N62" s="101">
        <f>IF(COUNT(H62:J62),SUM(H62:J62),"")</f>
        <v>1150000</v>
      </c>
      <c r="O62" s="102">
        <v>0</v>
      </c>
    </row>
    <row r="63" spans="7:15">
      <c r="G63" s="152" t="s">
        <v>131</v>
      </c>
      <c r="H63" s="142">
        <v>23251908</v>
      </c>
      <c r="I63" s="142">
        <v>0</v>
      </c>
      <c r="J63" s="142">
        <v>0</v>
      </c>
      <c r="K63" s="142"/>
      <c r="L63" s="142"/>
      <c r="M63" s="142"/>
      <c r="N63" s="101">
        <f t="shared" ref="N63:N65" si="20">IF(COUNT(H63:J63),SUM(H63:J63),"")</f>
        <v>23251908</v>
      </c>
      <c r="O63" s="153">
        <v>0</v>
      </c>
    </row>
    <row r="64" spans="7:15">
      <c r="G64" s="152" t="s">
        <v>568</v>
      </c>
      <c r="H64" s="142"/>
      <c r="I64" s="142"/>
      <c r="J64" s="142"/>
      <c r="K64" s="142"/>
      <c r="L64" s="142"/>
      <c r="M64" s="142"/>
      <c r="N64" s="101" t="str">
        <f t="shared" si="20"/>
        <v/>
      </c>
      <c r="O64" s="153"/>
    </row>
    <row r="65" spans="7:22">
      <c r="G65" s="152" t="s">
        <v>33</v>
      </c>
      <c r="H65" s="142"/>
      <c r="I65" s="142"/>
      <c r="J65" s="142"/>
      <c r="K65" s="142">
        <v>0</v>
      </c>
      <c r="L65" s="142">
        <v>0</v>
      </c>
      <c r="M65" s="142">
        <v>0</v>
      </c>
      <c r="N65" s="101" t="str">
        <f t="shared" si="20"/>
        <v/>
      </c>
      <c r="O65" s="153"/>
    </row>
    <row r="66" spans="7:22">
      <c r="G66" s="89" t="s">
        <v>504</v>
      </c>
      <c r="H66" s="69">
        <f>IF(COUNT(H59:H65),SUM(H59:H65),"")</f>
        <v>23969910</v>
      </c>
      <c r="I66" s="69">
        <f>IF(COUNT(I59:I65),SUM(I59:I65),"")</f>
        <v>468483</v>
      </c>
      <c r="J66" s="69">
        <f>IF(COUNT(J59:J65),SUM(J59:J65),"")</f>
        <v>161318</v>
      </c>
      <c r="K66" s="69">
        <f t="shared" ref="K66:M66" si="21">IF(COUNT(K59:K65),SUM(K59:K65),"")</f>
        <v>0</v>
      </c>
      <c r="L66" s="69">
        <f t="shared" si="21"/>
        <v>0</v>
      </c>
      <c r="M66" s="69">
        <f t="shared" si="21"/>
        <v>0</v>
      </c>
      <c r="N66" s="69">
        <f>IF(COUNT(N59:N65),SUM(N59:N65),"")</f>
        <v>24599711</v>
      </c>
      <c r="O66" s="69">
        <f>IF(COUNT(O59:O65),SUM(O59:O65),"")</f>
        <v>2067137</v>
      </c>
    </row>
    <row r="67" spans="7:22">
      <c r="G67" s="89" t="s">
        <v>488</v>
      </c>
      <c r="H67" s="69">
        <f>IF(COUNT(H57,H66),SUM(H57,H66),"")</f>
        <v>35123771</v>
      </c>
      <c r="I67" s="69">
        <f>IF(COUNT(I57,I66),SUM(I57,I66),"")</f>
        <v>1893241</v>
      </c>
      <c r="J67" s="69">
        <f>IF(COUNT(J57,J66),SUM(J57,J66),"")</f>
        <v>208669</v>
      </c>
      <c r="K67" s="69">
        <f t="shared" ref="K67:M67" si="22">IF(COUNT(K57,K66),SUM(K57,K66),"")</f>
        <v>0</v>
      </c>
      <c r="L67" s="69">
        <f t="shared" si="22"/>
        <v>0</v>
      </c>
      <c r="M67" s="69">
        <f t="shared" si="22"/>
        <v>0</v>
      </c>
      <c r="N67" s="69">
        <f>IF(COUNT(N57,N66),SUM(N57,N66),"")</f>
        <v>37225681</v>
      </c>
      <c r="O67" s="69">
        <f>IF(COUNT(O57,O66),SUM(O57,O66),"")</f>
        <v>2548721</v>
      </c>
    </row>
    <row r="68" spans="7:22">
      <c r="G68" s="96" t="s">
        <v>68</v>
      </c>
      <c r="H68" s="81"/>
      <c r="I68" s="81"/>
      <c r="J68" s="81"/>
      <c r="K68" s="81"/>
      <c r="L68" s="81"/>
      <c r="M68" s="81"/>
      <c r="N68" s="84" t="str">
        <f>IF(COUNT(H68:J68),SUM(H68:J68),"")</f>
        <v/>
      </c>
      <c r="O68" s="81"/>
    </row>
    <row r="69" spans="7:22">
      <c r="G69" s="90" t="s">
        <v>132</v>
      </c>
      <c r="H69" s="224"/>
      <c r="I69" s="225"/>
      <c r="J69" s="225"/>
      <c r="K69" s="225"/>
      <c r="L69" s="225"/>
      <c r="M69" s="225"/>
      <c r="N69" s="225"/>
      <c r="O69" s="226"/>
    </row>
    <row r="70" spans="7:22">
      <c r="G70" s="91" t="s">
        <v>505</v>
      </c>
      <c r="H70" s="63">
        <v>89586925</v>
      </c>
      <c r="I70" s="63">
        <v>7308619</v>
      </c>
      <c r="J70" s="63">
        <v>2133204</v>
      </c>
      <c r="K70" s="63"/>
      <c r="L70" s="63"/>
      <c r="M70" s="63"/>
      <c r="N70" s="99">
        <f>IF(COUNT(H70:J70),SUM(H70:J70),"")</f>
        <v>99028748</v>
      </c>
      <c r="O70" s="100">
        <v>195585</v>
      </c>
    </row>
    <row r="71" spans="7:22">
      <c r="G71" s="154" t="s">
        <v>43</v>
      </c>
      <c r="H71" s="224"/>
      <c r="I71" s="225"/>
      <c r="J71" s="225"/>
      <c r="K71" s="225"/>
      <c r="L71" s="225"/>
      <c r="M71" s="225"/>
      <c r="N71" s="225"/>
      <c r="O71" s="226"/>
    </row>
    <row r="72" spans="7:22">
      <c r="G72" s="155" t="s">
        <v>133</v>
      </c>
      <c r="H72" s="145">
        <v>8991951</v>
      </c>
      <c r="I72" s="145">
        <v>0</v>
      </c>
      <c r="J72" s="145">
        <v>0</v>
      </c>
      <c r="K72" s="145"/>
      <c r="L72" s="145"/>
      <c r="M72" s="145"/>
      <c r="N72" s="194">
        <f t="shared" ref="N72:N75" si="23">IF(COUNT(H72:J72),SUM(H72:J72),"")</f>
        <v>8991951</v>
      </c>
      <c r="O72" s="156"/>
    </row>
    <row r="73" spans="7:22">
      <c r="G73" s="155" t="s">
        <v>569</v>
      </c>
      <c r="H73" s="145"/>
      <c r="I73" s="145"/>
      <c r="J73" s="145"/>
      <c r="K73" s="145"/>
      <c r="L73" s="145"/>
      <c r="M73" s="145"/>
      <c r="N73" s="194" t="str">
        <f t="shared" si="23"/>
        <v/>
      </c>
      <c r="O73" s="156"/>
    </row>
    <row r="74" spans="7:22">
      <c r="G74" s="155" t="s">
        <v>570</v>
      </c>
      <c r="H74" s="145"/>
      <c r="I74" s="145"/>
      <c r="J74" s="145"/>
      <c r="K74" s="145"/>
      <c r="L74" s="145"/>
      <c r="M74" s="145"/>
      <c r="N74" s="194" t="str">
        <f t="shared" si="23"/>
        <v/>
      </c>
      <c r="O74" s="156"/>
    </row>
    <row r="75" spans="7:22">
      <c r="G75" s="155" t="s">
        <v>571</v>
      </c>
      <c r="H75" s="145">
        <v>0</v>
      </c>
      <c r="I75" s="145">
        <v>0</v>
      </c>
      <c r="J75" s="145">
        <v>0</v>
      </c>
      <c r="K75" s="145">
        <v>0</v>
      </c>
      <c r="L75" s="145">
        <v>0</v>
      </c>
      <c r="M75" s="145">
        <v>0</v>
      </c>
      <c r="N75" s="194">
        <f t="shared" si="23"/>
        <v>0</v>
      </c>
      <c r="O75" s="156">
        <v>0</v>
      </c>
    </row>
    <row r="76" spans="7:22">
      <c r="G76" s="89" t="s">
        <v>666</v>
      </c>
      <c r="H76" s="69">
        <f t="shared" ref="H76:N76" si="24">IF(COUNT(H72:H75),SUM(H72:H75),"")</f>
        <v>8991951</v>
      </c>
      <c r="I76" s="69">
        <f t="shared" si="24"/>
        <v>0</v>
      </c>
      <c r="J76" s="69">
        <f t="shared" si="24"/>
        <v>0</v>
      </c>
      <c r="K76" s="69">
        <f t="shared" si="24"/>
        <v>0</v>
      </c>
      <c r="L76" s="69">
        <f t="shared" si="24"/>
        <v>0</v>
      </c>
      <c r="M76" s="69">
        <f t="shared" si="24"/>
        <v>0</v>
      </c>
      <c r="N76" s="69">
        <f t="shared" si="24"/>
        <v>8991951</v>
      </c>
      <c r="O76" s="69">
        <f>IF(COUNT(O72:O75),SUM(O72:O75),"")</f>
        <v>0</v>
      </c>
    </row>
    <row r="77" spans="7:22">
      <c r="G77" s="92" t="s">
        <v>506</v>
      </c>
      <c r="H77" s="66">
        <v>10560531</v>
      </c>
      <c r="I77" s="66">
        <v>6422710</v>
      </c>
      <c r="J77" s="66">
        <v>221045</v>
      </c>
      <c r="K77" s="66"/>
      <c r="L77" s="66"/>
      <c r="M77" s="66"/>
      <c r="N77" s="103">
        <f>IF(COUNT(H77:J77),SUM(H77:J77),"")</f>
        <v>17204286</v>
      </c>
      <c r="O77" s="104">
        <v>4406417</v>
      </c>
    </row>
    <row r="78" spans="7:22">
      <c r="G78" s="89" t="s">
        <v>507</v>
      </c>
      <c r="H78" s="69">
        <f>IF(COUNT(H70,H76,H77),SUM(H70,H76,H77),"")</f>
        <v>109139407</v>
      </c>
      <c r="I78" s="69">
        <f t="shared" ref="I78:O78" si="25">IF(COUNT(I70,I76,I77),SUM(I70,I76,I77),"")</f>
        <v>13731329</v>
      </c>
      <c r="J78" s="69">
        <f t="shared" si="25"/>
        <v>2354249</v>
      </c>
      <c r="K78" s="69">
        <f t="shared" si="25"/>
        <v>0</v>
      </c>
      <c r="L78" s="69">
        <f t="shared" si="25"/>
        <v>0</v>
      </c>
      <c r="M78" s="69">
        <f t="shared" si="25"/>
        <v>0</v>
      </c>
      <c r="N78" s="69">
        <f t="shared" si="25"/>
        <v>125224985</v>
      </c>
      <c r="O78" s="69">
        <f t="shared" si="25"/>
        <v>4602002</v>
      </c>
      <c r="V78" t="s">
        <v>521</v>
      </c>
    </row>
    <row r="79" spans="7:22" ht="17.100000000000001" customHeight="1">
      <c r="G79" s="232" t="s">
        <v>662</v>
      </c>
      <c r="H79" s="233"/>
      <c r="I79" s="233"/>
      <c r="J79" s="233"/>
      <c r="K79" s="233"/>
      <c r="L79" s="233"/>
      <c r="M79" s="234"/>
      <c r="N79" s="189">
        <v>312060</v>
      </c>
      <c r="O79" s="227"/>
      <c r="V79" t="s">
        <v>134</v>
      </c>
    </row>
    <row r="80" spans="7:22" ht="17.100000000000001" customHeight="1">
      <c r="G80" s="229" t="s">
        <v>135</v>
      </c>
      <c r="H80" s="230"/>
      <c r="I80" s="230"/>
      <c r="J80" s="230"/>
      <c r="K80" s="230"/>
      <c r="L80" s="230"/>
      <c r="M80" s="231"/>
      <c r="N80" s="69">
        <f>IF(COUNT(N78:N79),SUM(N78:N79),"")</f>
        <v>125537045</v>
      </c>
      <c r="O80" s="228"/>
      <c r="V80" t="s">
        <v>135</v>
      </c>
    </row>
    <row r="8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</sheetData>
  <sheetProtection algorithmName="SHA-512" hashValue="sr3/N61ekgSpfYZKlBhPz+HCvmbziAZ71N/LiIzW1y4gdELhP9sFZ2omZAp78Jmqx9DBowiowcUZrOapIhJJiw==" saltValue="xBhiOmPFL8aRO705e4IuhA==" spinCount="100000" sheet="1" objects="1" scenarios="1"/>
  <mergeCells count="17">
    <mergeCell ref="O79:O80"/>
    <mergeCell ref="H53:O53"/>
    <mergeCell ref="H71:O71"/>
    <mergeCell ref="G80:M80"/>
    <mergeCell ref="G79:M79"/>
    <mergeCell ref="H28:O28"/>
    <mergeCell ref="H40:O40"/>
    <mergeCell ref="H41:O41"/>
    <mergeCell ref="H58:O58"/>
    <mergeCell ref="H69:O69"/>
    <mergeCell ref="H11:N11"/>
    <mergeCell ref="H13:O13"/>
    <mergeCell ref="H14:O14"/>
    <mergeCell ref="H24:O24"/>
    <mergeCell ref="G10:N10"/>
    <mergeCell ref="G11:G12"/>
    <mergeCell ref="O11:O12"/>
  </mergeCells>
  <dataValidations count="1">
    <dataValidation type="whole" allowBlank="1" showInputMessage="1" showErrorMessage="1" sqref="G15:O80">
      <formula1>-11111111111111100000</formula1>
      <formula2>1.11111111111111E+27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Q64"/>
  <sheetViews>
    <sheetView showGridLines="0" tabSelected="1" topLeftCell="F9" workbookViewId="0">
      <selection activeCell="G9" sqref="G9"/>
    </sheetView>
  </sheetViews>
  <sheetFormatPr defaultColWidth="0" defaultRowHeight="15" zeroHeight="1"/>
  <cols>
    <col min="1" max="4" width="9.140625" hidden="1" customWidth="1"/>
    <col min="5" max="6" width="2.28515625" customWidth="1"/>
    <col min="7" max="7" width="44.5703125" style="17" customWidth="1"/>
    <col min="8" max="8" width="14.5703125" style="17" customWidth="1"/>
    <col min="9" max="9" width="15.5703125" style="17" customWidth="1"/>
    <col min="10" max="13" width="14.28515625" style="17" customWidth="1"/>
    <col min="14" max="14" width="25.140625" style="17" customWidth="1"/>
    <col min="15" max="15" width="20.85546875" style="17" bestFit="1" customWidth="1"/>
    <col min="16" max="16" width="2.85546875" customWidth="1"/>
    <col min="17" max="17" width="2.28515625" customWidth="1"/>
    <col min="18" max="16384" width="9.140625" hidden="1"/>
  </cols>
  <sheetData>
    <row r="1" spans="7:15" hidden="1"/>
    <row r="2" spans="7:15" hidden="1"/>
    <row r="3" spans="7:15" hidden="1"/>
    <row r="4" spans="7:15" hidden="1"/>
    <row r="5" spans="7:15" hidden="1"/>
    <row r="6" spans="7:15" hidden="1"/>
    <row r="7" spans="7:15" hidden="1"/>
    <row r="8" spans="7:15" hidden="1"/>
    <row r="9" spans="7:15" ht="39.950000000000003" customHeight="1"/>
    <row r="10" spans="7:15" ht="24.95" customHeight="1">
      <c r="G10" s="199" t="s">
        <v>241</v>
      </c>
      <c r="H10" s="200"/>
      <c r="I10" s="200"/>
      <c r="J10" s="200"/>
      <c r="K10" s="200"/>
      <c r="L10" s="200"/>
      <c r="M10" s="200"/>
      <c r="N10" s="201"/>
      <c r="O10" s="135" t="s">
        <v>657</v>
      </c>
    </row>
    <row r="11" spans="7:15" ht="22.5" customHeight="1">
      <c r="G11" s="202" t="s">
        <v>3</v>
      </c>
      <c r="H11" s="199" t="s">
        <v>105</v>
      </c>
      <c r="I11" s="200"/>
      <c r="J11" s="200"/>
      <c r="K11" s="200"/>
      <c r="L11" s="200"/>
      <c r="M11" s="200"/>
      <c r="N11" s="201"/>
      <c r="O11" s="202" t="s">
        <v>107</v>
      </c>
    </row>
    <row r="12" spans="7:15" ht="45">
      <c r="G12" s="203"/>
      <c r="H12" s="8" t="s">
        <v>229</v>
      </c>
      <c r="I12" s="8" t="s">
        <v>214</v>
      </c>
      <c r="J12" s="8" t="s">
        <v>215</v>
      </c>
      <c r="K12" s="8" t="s">
        <v>533</v>
      </c>
      <c r="L12" s="8" t="s">
        <v>534</v>
      </c>
      <c r="M12" s="8" t="s">
        <v>535</v>
      </c>
      <c r="N12" s="8" t="s">
        <v>106</v>
      </c>
      <c r="O12" s="203"/>
    </row>
    <row r="13" spans="7:15">
      <c r="G13" s="5" t="s">
        <v>136</v>
      </c>
      <c r="H13" s="205"/>
      <c r="I13" s="205"/>
      <c r="J13" s="205"/>
      <c r="K13" s="205"/>
      <c r="L13" s="205"/>
      <c r="M13" s="205"/>
      <c r="N13" s="205"/>
      <c r="O13" s="206"/>
    </row>
    <row r="14" spans="7:15">
      <c r="G14" s="108" t="s">
        <v>508</v>
      </c>
      <c r="H14" s="63">
        <v>21105290</v>
      </c>
      <c r="I14" s="63">
        <v>10590402</v>
      </c>
      <c r="J14" s="63">
        <v>784273</v>
      </c>
      <c r="K14" s="63"/>
      <c r="L14" s="63"/>
      <c r="M14" s="63"/>
      <c r="N14" s="99">
        <f>IF(COUNT(H14:J14),SUM(H14:J14),"")</f>
        <v>32479965</v>
      </c>
      <c r="O14" s="100">
        <v>12494842</v>
      </c>
    </row>
    <row r="15" spans="7:15">
      <c r="G15" s="75" t="s">
        <v>137</v>
      </c>
      <c r="H15" s="64">
        <v>1433039</v>
      </c>
      <c r="I15" s="64">
        <v>0</v>
      </c>
      <c r="J15" s="64">
        <v>0</v>
      </c>
      <c r="K15" s="64"/>
      <c r="L15" s="64"/>
      <c r="M15" s="64"/>
      <c r="N15" s="101">
        <f t="shared" ref="N15:N18" si="0">IF(COUNT(H15:J15),SUM(H15:J15),"")</f>
        <v>1433039</v>
      </c>
      <c r="O15" s="102">
        <v>0</v>
      </c>
    </row>
    <row r="16" spans="7:15">
      <c r="G16" s="75" t="s">
        <v>138</v>
      </c>
      <c r="H16" s="64">
        <v>92631</v>
      </c>
      <c r="I16" s="64">
        <v>183079</v>
      </c>
      <c r="J16" s="64">
        <v>0</v>
      </c>
      <c r="K16" s="64"/>
      <c r="L16" s="64"/>
      <c r="M16" s="64"/>
      <c r="N16" s="101">
        <f t="shared" si="0"/>
        <v>275710</v>
      </c>
      <c r="O16" s="102">
        <v>0</v>
      </c>
    </row>
    <row r="17" spans="7:15">
      <c r="G17" s="75" t="s">
        <v>139</v>
      </c>
      <c r="H17" s="64">
        <v>0</v>
      </c>
      <c r="I17" s="64">
        <v>0</v>
      </c>
      <c r="J17" s="64">
        <v>66841</v>
      </c>
      <c r="K17" s="64"/>
      <c r="L17" s="64"/>
      <c r="M17" s="64"/>
      <c r="N17" s="101">
        <f t="shared" si="0"/>
        <v>66841</v>
      </c>
      <c r="O17" s="102">
        <v>0</v>
      </c>
    </row>
    <row r="18" spans="7:15">
      <c r="G18" s="109" t="s">
        <v>510</v>
      </c>
      <c r="H18" s="66">
        <v>0</v>
      </c>
      <c r="I18" s="66">
        <v>60092</v>
      </c>
      <c r="J18" s="66">
        <v>0</v>
      </c>
      <c r="K18" s="66">
        <v>0</v>
      </c>
      <c r="L18" s="66">
        <v>0</v>
      </c>
      <c r="M18" s="66">
        <v>0</v>
      </c>
      <c r="N18" s="103">
        <f t="shared" si="0"/>
        <v>60092</v>
      </c>
      <c r="O18" s="104">
        <v>0</v>
      </c>
    </row>
    <row r="19" spans="7:15">
      <c r="G19" s="83" t="s">
        <v>140</v>
      </c>
      <c r="H19" s="69">
        <f>IF(COUNT(H14:H18),SUM(H14:H18),"")</f>
        <v>22630960</v>
      </c>
      <c r="I19" s="69">
        <f t="shared" ref="I19:O19" si="1">IF(COUNT(I14:I18),SUM(I14:I18),"")</f>
        <v>10833573</v>
      </c>
      <c r="J19" s="69">
        <f t="shared" si="1"/>
        <v>851114</v>
      </c>
      <c r="K19" s="69">
        <f t="shared" si="1"/>
        <v>0</v>
      </c>
      <c r="L19" s="69">
        <f t="shared" si="1"/>
        <v>0</v>
      </c>
      <c r="M19" s="69">
        <f t="shared" si="1"/>
        <v>0</v>
      </c>
      <c r="N19" s="69">
        <f t="shared" si="1"/>
        <v>34315647</v>
      </c>
      <c r="O19" s="69">
        <f t="shared" si="1"/>
        <v>12494842</v>
      </c>
    </row>
    <row r="20" spans="7:15">
      <c r="G20" s="74" t="s">
        <v>141</v>
      </c>
      <c r="H20" s="207"/>
      <c r="I20" s="208"/>
      <c r="J20" s="208"/>
      <c r="K20" s="208"/>
      <c r="L20" s="208"/>
      <c r="M20" s="208"/>
      <c r="N20" s="208"/>
      <c r="O20" s="209"/>
    </row>
    <row r="21" spans="7:15">
      <c r="G21" s="110" t="s">
        <v>142</v>
      </c>
      <c r="H21" s="63">
        <v>6237387</v>
      </c>
      <c r="I21" s="63">
        <v>3218599</v>
      </c>
      <c r="J21" s="63">
        <v>390499</v>
      </c>
      <c r="K21" s="63"/>
      <c r="L21" s="63"/>
      <c r="M21" s="63"/>
      <c r="N21" s="99">
        <f t="shared" ref="N21:N35" si="2">IF(COUNT(H21:J21),SUM(H21:J21),"")</f>
        <v>9846485</v>
      </c>
      <c r="O21" s="100">
        <v>1312542</v>
      </c>
    </row>
    <row r="22" spans="7:15">
      <c r="G22" s="111" t="s">
        <v>143</v>
      </c>
      <c r="H22" s="64">
        <v>0</v>
      </c>
      <c r="I22" s="64">
        <v>0</v>
      </c>
      <c r="J22" s="64">
        <v>10484</v>
      </c>
      <c r="K22" s="64"/>
      <c r="L22" s="64"/>
      <c r="M22" s="64"/>
      <c r="N22" s="101">
        <f t="shared" si="2"/>
        <v>10484</v>
      </c>
      <c r="O22" s="102">
        <v>818998</v>
      </c>
    </row>
    <row r="23" spans="7:15">
      <c r="G23" s="111" t="s">
        <v>144</v>
      </c>
      <c r="H23" s="64">
        <v>842757</v>
      </c>
      <c r="I23" s="64">
        <v>3192805</v>
      </c>
      <c r="J23" s="64">
        <v>20412</v>
      </c>
      <c r="K23" s="64"/>
      <c r="L23" s="64"/>
      <c r="M23" s="64"/>
      <c r="N23" s="101">
        <f t="shared" si="2"/>
        <v>4055974</v>
      </c>
      <c r="O23" s="102">
        <v>399218</v>
      </c>
    </row>
    <row r="24" spans="7:15">
      <c r="G24" s="111" t="s">
        <v>145</v>
      </c>
      <c r="H24" s="64">
        <v>1398592</v>
      </c>
      <c r="I24" s="64">
        <v>385025</v>
      </c>
      <c r="J24" s="64">
        <v>137796</v>
      </c>
      <c r="K24" s="64"/>
      <c r="L24" s="64"/>
      <c r="M24" s="64"/>
      <c r="N24" s="101">
        <f t="shared" si="2"/>
        <v>1921413</v>
      </c>
      <c r="O24" s="102">
        <v>50498</v>
      </c>
    </row>
    <row r="25" spans="7:15">
      <c r="G25" s="111" t="s">
        <v>146</v>
      </c>
      <c r="H25" s="64">
        <v>870435</v>
      </c>
      <c r="I25" s="64">
        <v>65104</v>
      </c>
      <c r="J25" s="64">
        <v>84857</v>
      </c>
      <c r="K25" s="64"/>
      <c r="L25" s="64"/>
      <c r="M25" s="64"/>
      <c r="N25" s="101">
        <f t="shared" si="2"/>
        <v>1020396</v>
      </c>
      <c r="O25" s="102">
        <v>60629</v>
      </c>
    </row>
    <row r="26" spans="7:15">
      <c r="G26" s="111" t="s">
        <v>147</v>
      </c>
      <c r="H26" s="64">
        <v>1834837</v>
      </c>
      <c r="I26" s="64">
        <v>47297</v>
      </c>
      <c r="J26" s="64">
        <v>71707</v>
      </c>
      <c r="K26" s="64"/>
      <c r="L26" s="64"/>
      <c r="M26" s="64"/>
      <c r="N26" s="101">
        <f t="shared" si="2"/>
        <v>1953841</v>
      </c>
      <c r="O26" s="102">
        <v>10581</v>
      </c>
    </row>
    <row r="27" spans="7:15">
      <c r="G27" s="111" t="s">
        <v>148</v>
      </c>
      <c r="H27" s="64">
        <v>305330</v>
      </c>
      <c r="I27" s="64">
        <v>15639</v>
      </c>
      <c r="J27" s="64">
        <v>30</v>
      </c>
      <c r="K27" s="64"/>
      <c r="L27" s="64"/>
      <c r="M27" s="64"/>
      <c r="N27" s="101">
        <f t="shared" si="2"/>
        <v>320999</v>
      </c>
      <c r="O27" s="102">
        <v>167508</v>
      </c>
    </row>
    <row r="28" spans="7:15">
      <c r="G28" s="111" t="s">
        <v>149</v>
      </c>
      <c r="H28" s="64">
        <v>66443</v>
      </c>
      <c r="I28" s="64">
        <v>379475</v>
      </c>
      <c r="J28" s="64">
        <v>5603</v>
      </c>
      <c r="K28" s="64"/>
      <c r="L28" s="64"/>
      <c r="M28" s="64"/>
      <c r="N28" s="101">
        <f t="shared" si="2"/>
        <v>451521</v>
      </c>
      <c r="O28" s="102">
        <v>6800</v>
      </c>
    </row>
    <row r="29" spans="7:15">
      <c r="G29" s="111" t="s">
        <v>150</v>
      </c>
      <c r="H29" s="64">
        <v>89500</v>
      </c>
      <c r="I29" s="64">
        <v>875300</v>
      </c>
      <c r="J29" s="64">
        <v>4000</v>
      </c>
      <c r="K29" s="64"/>
      <c r="L29" s="64"/>
      <c r="M29" s="64"/>
      <c r="N29" s="101">
        <f t="shared" si="2"/>
        <v>968800</v>
      </c>
      <c r="O29" s="102">
        <v>12700</v>
      </c>
    </row>
    <row r="30" spans="7:15">
      <c r="G30" s="111" t="s">
        <v>151</v>
      </c>
      <c r="H30" s="64">
        <v>1810859</v>
      </c>
      <c r="I30" s="64">
        <v>861878</v>
      </c>
      <c r="J30" s="64">
        <v>0</v>
      </c>
      <c r="K30" s="64"/>
      <c r="L30" s="64"/>
      <c r="M30" s="64"/>
      <c r="N30" s="101">
        <f t="shared" si="2"/>
        <v>2672737</v>
      </c>
      <c r="O30" s="102">
        <v>138100</v>
      </c>
    </row>
    <row r="31" spans="7:15">
      <c r="G31" s="111" t="s">
        <v>152</v>
      </c>
      <c r="H31" s="64">
        <v>302800</v>
      </c>
      <c r="I31" s="64">
        <v>36600</v>
      </c>
      <c r="J31" s="64">
        <v>15300</v>
      </c>
      <c r="K31" s="64"/>
      <c r="L31" s="64"/>
      <c r="M31" s="64"/>
      <c r="N31" s="101">
        <f t="shared" si="2"/>
        <v>354700</v>
      </c>
      <c r="O31" s="102">
        <v>9800</v>
      </c>
    </row>
    <row r="32" spans="7:15">
      <c r="G32" s="111" t="s">
        <v>153</v>
      </c>
      <c r="H32" s="64">
        <v>4610391</v>
      </c>
      <c r="I32" s="64">
        <v>1399601</v>
      </c>
      <c r="J32" s="64">
        <v>190747</v>
      </c>
      <c r="K32" s="64"/>
      <c r="L32" s="64"/>
      <c r="M32" s="64"/>
      <c r="N32" s="101">
        <f t="shared" si="2"/>
        <v>6200739</v>
      </c>
      <c r="O32" s="102">
        <v>34465</v>
      </c>
    </row>
    <row r="33" spans="7:15">
      <c r="G33" s="111" t="s">
        <v>154</v>
      </c>
      <c r="H33" s="64">
        <v>0</v>
      </c>
      <c r="I33" s="64">
        <v>0</v>
      </c>
      <c r="J33" s="64">
        <v>0</v>
      </c>
      <c r="K33" s="64"/>
      <c r="L33" s="64"/>
      <c r="M33" s="64"/>
      <c r="N33" s="101">
        <f t="shared" si="2"/>
        <v>0</v>
      </c>
      <c r="O33" s="102">
        <v>8267309</v>
      </c>
    </row>
    <row r="34" spans="7:15">
      <c r="G34" s="157" t="s">
        <v>572</v>
      </c>
      <c r="H34" s="142"/>
      <c r="I34" s="142"/>
      <c r="J34" s="142"/>
      <c r="K34" s="142"/>
      <c r="L34" s="142"/>
      <c r="M34" s="142"/>
      <c r="N34" s="101" t="str">
        <f t="shared" si="2"/>
        <v/>
      </c>
      <c r="O34" s="153"/>
    </row>
    <row r="35" spans="7:15">
      <c r="G35" s="112" t="s">
        <v>511</v>
      </c>
      <c r="H35" s="66">
        <v>314049</v>
      </c>
      <c r="I35" s="66">
        <v>99482</v>
      </c>
      <c r="J35" s="66">
        <v>80690</v>
      </c>
      <c r="K35" s="66">
        <v>0</v>
      </c>
      <c r="L35" s="66">
        <v>0</v>
      </c>
      <c r="M35" s="66">
        <v>0</v>
      </c>
      <c r="N35" s="103">
        <f t="shared" si="2"/>
        <v>494221</v>
      </c>
      <c r="O35" s="104">
        <v>1166597</v>
      </c>
    </row>
    <row r="36" spans="7:15">
      <c r="G36" s="83" t="s">
        <v>155</v>
      </c>
      <c r="H36" s="69">
        <f>IF(COUNT(H21:H35),SUM(H21:H35),"")</f>
        <v>18683380</v>
      </c>
      <c r="I36" s="69">
        <f t="shared" ref="I36:O36" si="3">IF(COUNT(I21:I35),SUM(I21:I35),"")</f>
        <v>10576805</v>
      </c>
      <c r="J36" s="69">
        <f t="shared" si="3"/>
        <v>1012125</v>
      </c>
      <c r="K36" s="69">
        <f t="shared" ref="K36:M36" si="4">IF(COUNT(K21:K35),SUM(K21:K35),"")</f>
        <v>0</v>
      </c>
      <c r="L36" s="69">
        <f t="shared" si="4"/>
        <v>0</v>
      </c>
      <c r="M36" s="69">
        <f t="shared" si="4"/>
        <v>0</v>
      </c>
      <c r="N36" s="69">
        <f t="shared" si="3"/>
        <v>30272310</v>
      </c>
      <c r="O36" s="69">
        <f t="shared" si="3"/>
        <v>12455745</v>
      </c>
    </row>
    <row r="37" spans="7:15">
      <c r="G37" s="83" t="s">
        <v>156</v>
      </c>
      <c r="H37" s="69">
        <f>IF(COUNT(H19,H36),SUM(H19)-SUM(H36),"")</f>
        <v>3947580</v>
      </c>
      <c r="I37" s="69">
        <f t="shared" ref="I37:O37" si="5">IF(COUNT(I19,I36),SUM(I19)-SUM(I36),"")</f>
        <v>256768</v>
      </c>
      <c r="J37" s="69">
        <f t="shared" si="5"/>
        <v>-161011</v>
      </c>
      <c r="K37" s="69">
        <f t="shared" ref="K37:M37" si="6">IF(COUNT(K19,K36),SUM(K19)-SUM(K36),"")</f>
        <v>0</v>
      </c>
      <c r="L37" s="69">
        <f t="shared" si="6"/>
        <v>0</v>
      </c>
      <c r="M37" s="69">
        <f t="shared" si="6"/>
        <v>0</v>
      </c>
      <c r="N37" s="69">
        <f t="shared" si="5"/>
        <v>4043337</v>
      </c>
      <c r="O37" s="69">
        <f t="shared" si="5"/>
        <v>39097</v>
      </c>
    </row>
    <row r="38" spans="7:15">
      <c r="G38" s="74" t="s">
        <v>157</v>
      </c>
      <c r="H38" s="224"/>
      <c r="I38" s="225"/>
      <c r="J38" s="225"/>
      <c r="K38" s="225"/>
      <c r="L38" s="225"/>
      <c r="M38" s="225"/>
      <c r="N38" s="225"/>
      <c r="O38" s="226"/>
    </row>
    <row r="39" spans="7:15">
      <c r="G39" s="110" t="s">
        <v>513</v>
      </c>
      <c r="H39" s="63">
        <v>438433</v>
      </c>
      <c r="I39" s="63">
        <v>53305</v>
      </c>
      <c r="J39" s="63">
        <v>3898</v>
      </c>
      <c r="K39" s="63"/>
      <c r="L39" s="63"/>
      <c r="M39" s="63"/>
      <c r="N39" s="99">
        <f t="shared" ref="N39:N46" si="7">IF(COUNT(H39:J39),SUM(H39:J39),"")</f>
        <v>495636</v>
      </c>
      <c r="O39" s="100">
        <v>47467</v>
      </c>
    </row>
    <row r="40" spans="7:15">
      <c r="G40" s="111" t="s">
        <v>158</v>
      </c>
      <c r="H40" s="64">
        <v>112213</v>
      </c>
      <c r="I40" s="64">
        <v>307135</v>
      </c>
      <c r="J40" s="64">
        <v>0</v>
      </c>
      <c r="K40" s="64"/>
      <c r="L40" s="64"/>
      <c r="M40" s="64"/>
      <c r="N40" s="101">
        <f t="shared" si="7"/>
        <v>419348</v>
      </c>
      <c r="O40" s="102">
        <v>16411</v>
      </c>
    </row>
    <row r="41" spans="7:15">
      <c r="G41" s="111" t="s">
        <v>518</v>
      </c>
      <c r="H41" s="64">
        <v>-427848</v>
      </c>
      <c r="I41" s="64">
        <v>0</v>
      </c>
      <c r="J41" s="64">
        <v>0</v>
      </c>
      <c r="K41" s="64"/>
      <c r="L41" s="64"/>
      <c r="M41" s="64"/>
      <c r="N41" s="101">
        <f t="shared" si="7"/>
        <v>-427848</v>
      </c>
      <c r="O41" s="102">
        <v>0</v>
      </c>
    </row>
    <row r="42" spans="7:15">
      <c r="G42" s="157" t="s">
        <v>573</v>
      </c>
      <c r="H42" s="142"/>
      <c r="I42" s="142"/>
      <c r="J42" s="142"/>
      <c r="K42" s="142"/>
      <c r="L42" s="142"/>
      <c r="M42" s="142"/>
      <c r="N42" s="101" t="str">
        <f t="shared" si="7"/>
        <v/>
      </c>
      <c r="O42" s="153"/>
    </row>
    <row r="43" spans="7:15">
      <c r="G43" s="157" t="s">
        <v>574</v>
      </c>
      <c r="H43" s="142"/>
      <c r="I43" s="142"/>
      <c r="J43" s="142"/>
      <c r="K43" s="142"/>
      <c r="L43" s="142"/>
      <c r="M43" s="142"/>
      <c r="N43" s="101" t="str">
        <f t="shared" si="7"/>
        <v/>
      </c>
      <c r="O43" s="153"/>
    </row>
    <row r="44" spans="7:15">
      <c r="G44" s="157" t="s">
        <v>575</v>
      </c>
      <c r="H44" s="142"/>
      <c r="I44" s="142"/>
      <c r="J44" s="142"/>
      <c r="K44" s="142"/>
      <c r="L44" s="142"/>
      <c r="M44" s="142"/>
      <c r="N44" s="101" t="str">
        <f t="shared" si="7"/>
        <v/>
      </c>
      <c r="O44" s="153"/>
    </row>
    <row r="45" spans="7:15">
      <c r="G45" s="157" t="s">
        <v>576</v>
      </c>
      <c r="H45" s="142"/>
      <c r="I45" s="142"/>
      <c r="J45" s="142"/>
      <c r="K45" s="142"/>
      <c r="L45" s="142"/>
      <c r="M45" s="142"/>
      <c r="N45" s="101" t="str">
        <f t="shared" si="7"/>
        <v/>
      </c>
      <c r="O45" s="153"/>
    </row>
    <row r="46" spans="7:15">
      <c r="G46" s="112" t="s">
        <v>512</v>
      </c>
      <c r="H46" s="66">
        <v>7516</v>
      </c>
      <c r="I46" s="66">
        <v>0</v>
      </c>
      <c r="J46" s="66">
        <v>12400</v>
      </c>
      <c r="K46" s="66">
        <v>0</v>
      </c>
      <c r="L46" s="66">
        <v>0</v>
      </c>
      <c r="M46" s="66">
        <v>0</v>
      </c>
      <c r="N46" s="103">
        <f t="shared" si="7"/>
        <v>19916</v>
      </c>
      <c r="O46" s="104">
        <v>17072</v>
      </c>
    </row>
    <row r="47" spans="7:15">
      <c r="G47" s="83" t="s">
        <v>160</v>
      </c>
      <c r="H47" s="69">
        <f>IF(COUNT(H39:H46),SUM(H39:H46),"")</f>
        <v>130314</v>
      </c>
      <c r="I47" s="69">
        <f>IF(COUNT(I39:I46),SUM(I39:I46),"")</f>
        <v>360440</v>
      </c>
      <c r="J47" s="69">
        <f>IF(COUNT(J39:J46),SUM(J39:J46),"")</f>
        <v>16298</v>
      </c>
      <c r="K47" s="69">
        <f t="shared" ref="K47:M47" si="8">IF(COUNT(K39:K46),SUM(K39:K46),"")</f>
        <v>0</v>
      </c>
      <c r="L47" s="69">
        <f t="shared" si="8"/>
        <v>0</v>
      </c>
      <c r="M47" s="69">
        <f t="shared" si="8"/>
        <v>0</v>
      </c>
      <c r="N47" s="69">
        <f>IF(COUNT(N39:N46),SUM(N39:N46),"")</f>
        <v>507052</v>
      </c>
      <c r="O47" s="69">
        <f>IF(COUNT(O39:O46),SUM(O39:O46),"")</f>
        <v>80950</v>
      </c>
    </row>
    <row r="48" spans="7:15" ht="30">
      <c r="G48" s="83" t="s">
        <v>161</v>
      </c>
      <c r="H48" s="69">
        <f>IF(COUNT(H37,H47),SUM(H37,H47),"")</f>
        <v>4077894</v>
      </c>
      <c r="I48" s="69">
        <f>IF(COUNT(I37,I47),SUM(I37,I47),"")</f>
        <v>617208</v>
      </c>
      <c r="J48" s="69">
        <f>IF(COUNT(J37,J47),SUM(J37,J47),"")</f>
        <v>-144713</v>
      </c>
      <c r="K48" s="69">
        <f t="shared" ref="K48:M48" si="9">IF(COUNT(K37,K47),SUM(K37,K47),"")</f>
        <v>0</v>
      </c>
      <c r="L48" s="69">
        <f t="shared" si="9"/>
        <v>0</v>
      </c>
      <c r="M48" s="69">
        <f t="shared" si="9"/>
        <v>0</v>
      </c>
      <c r="N48" s="69">
        <f>IF(COUNT(N37,N47),SUM(N37,N47),"")</f>
        <v>4550389</v>
      </c>
      <c r="O48" s="69">
        <f>IF(COUNT(O37,O47),SUM(O37,O47),"")</f>
        <v>120047</v>
      </c>
    </row>
    <row r="49" spans="7:15">
      <c r="G49" s="74" t="s">
        <v>162</v>
      </c>
      <c r="H49" s="224"/>
      <c r="I49" s="225"/>
      <c r="J49" s="225"/>
      <c r="K49" s="225"/>
      <c r="L49" s="225"/>
      <c r="M49" s="225"/>
      <c r="N49" s="225"/>
      <c r="O49" s="226"/>
    </row>
    <row r="50" spans="7:15">
      <c r="G50" s="110" t="s">
        <v>577</v>
      </c>
      <c r="H50" s="63"/>
      <c r="I50" s="63"/>
      <c r="J50" s="63"/>
      <c r="K50" s="63"/>
      <c r="L50" s="63"/>
      <c r="M50" s="63"/>
      <c r="N50" s="99" t="str">
        <f t="shared" ref="N50:N55" si="10">IF(COUNT(H50:J50),SUM(H50:J50),"")</f>
        <v/>
      </c>
      <c r="O50" s="100"/>
    </row>
    <row r="51" spans="7:15">
      <c r="G51" s="158" t="s">
        <v>578</v>
      </c>
      <c r="H51" s="224"/>
      <c r="I51" s="225"/>
      <c r="J51" s="225"/>
      <c r="K51" s="225"/>
      <c r="L51" s="225"/>
      <c r="M51" s="225"/>
      <c r="N51" s="225"/>
      <c r="O51" s="226"/>
    </row>
    <row r="52" spans="7:15">
      <c r="G52" s="163" t="s">
        <v>579</v>
      </c>
      <c r="H52" s="63"/>
      <c r="I52" s="63"/>
      <c r="J52" s="63"/>
      <c r="K52" s="63"/>
      <c r="L52" s="63"/>
      <c r="M52" s="63"/>
      <c r="N52" s="99" t="str">
        <f t="shared" ref="N52:N53" si="11">IF(COUNT(H52:J52),SUM(H52:J52),"")</f>
        <v/>
      </c>
      <c r="O52" s="63"/>
    </row>
    <row r="53" spans="7:15">
      <c r="G53" s="164" t="s">
        <v>580</v>
      </c>
      <c r="H53" s="66">
        <v>45000</v>
      </c>
      <c r="I53" s="66">
        <v>0</v>
      </c>
      <c r="J53" s="66">
        <v>0</v>
      </c>
      <c r="K53" s="66"/>
      <c r="L53" s="66"/>
      <c r="M53" s="66"/>
      <c r="N53" s="103">
        <f t="shared" si="11"/>
        <v>45000</v>
      </c>
      <c r="O53" s="66">
        <v>0</v>
      </c>
    </row>
    <row r="54" spans="7:15">
      <c r="G54" s="83" t="s">
        <v>581</v>
      </c>
      <c r="H54" s="69">
        <f>IF(COUNT(H52:H53),SUM(H52:H53),"")</f>
        <v>45000</v>
      </c>
      <c r="I54" s="69">
        <f t="shared" ref="I54:O54" si="12">IF(COUNT(I52:I53),SUM(I52:I53),"")</f>
        <v>0</v>
      </c>
      <c r="J54" s="69">
        <f t="shared" si="12"/>
        <v>0</v>
      </c>
      <c r="K54" s="69" t="str">
        <f t="shared" si="12"/>
        <v/>
      </c>
      <c r="L54" s="69" t="str">
        <f t="shared" si="12"/>
        <v/>
      </c>
      <c r="M54" s="69" t="str">
        <f t="shared" si="12"/>
        <v/>
      </c>
      <c r="N54" s="69">
        <f t="shared" si="12"/>
        <v>45000</v>
      </c>
      <c r="O54" s="69">
        <f t="shared" si="12"/>
        <v>0</v>
      </c>
    </row>
    <row r="55" spans="7:15">
      <c r="G55" s="112" t="s">
        <v>163</v>
      </c>
      <c r="H55" s="66">
        <v>535320</v>
      </c>
      <c r="I55" s="66">
        <v>0</v>
      </c>
      <c r="J55" s="66">
        <v>0</v>
      </c>
      <c r="K55" s="66">
        <v>0</v>
      </c>
      <c r="L55" s="66">
        <v>0</v>
      </c>
      <c r="M55" s="66">
        <v>0</v>
      </c>
      <c r="N55" s="103">
        <f t="shared" si="10"/>
        <v>535320</v>
      </c>
      <c r="O55" s="104">
        <v>0</v>
      </c>
    </row>
    <row r="56" spans="7:15">
      <c r="G56" s="83" t="s">
        <v>164</v>
      </c>
      <c r="H56" s="69">
        <f>IF(COUNT(H50,H54,H55),SUM(H55,H50)-SUM(H54),"")</f>
        <v>490320</v>
      </c>
      <c r="I56" s="69">
        <f t="shared" ref="I56:O56" si="13">IF(COUNT(I50,I54,I55),SUM(I55,I50)-SUM(I54),"")</f>
        <v>0</v>
      </c>
      <c r="J56" s="69">
        <f t="shared" si="13"/>
        <v>0</v>
      </c>
      <c r="K56" s="69">
        <f t="shared" ref="K56:M56" si="14">IF(COUNT(K50,K54,K55),SUM(K55,K50)-SUM(K54),"")</f>
        <v>0</v>
      </c>
      <c r="L56" s="69">
        <f t="shared" si="14"/>
        <v>0</v>
      </c>
      <c r="M56" s="69">
        <f t="shared" si="14"/>
        <v>0</v>
      </c>
      <c r="N56" s="69">
        <f t="shared" si="13"/>
        <v>490320</v>
      </c>
      <c r="O56" s="69">
        <f t="shared" si="13"/>
        <v>0</v>
      </c>
    </row>
    <row r="57" spans="7:15">
      <c r="G57" s="83" t="s">
        <v>515</v>
      </c>
      <c r="H57" s="69">
        <f>IF(COUNT(H48,H56),SUM(H48,H56),"")</f>
        <v>4568214</v>
      </c>
      <c r="I57" s="69">
        <f t="shared" ref="I57:O57" si="15">IF(COUNT(I48,I56),SUM(I48,I56),"")</f>
        <v>617208</v>
      </c>
      <c r="J57" s="69">
        <f t="shared" si="15"/>
        <v>-144713</v>
      </c>
      <c r="K57" s="69">
        <f t="shared" ref="K57:M57" si="16">IF(COUNT(K48,K56),SUM(K48,K56),"")</f>
        <v>0</v>
      </c>
      <c r="L57" s="69">
        <f t="shared" si="16"/>
        <v>0</v>
      </c>
      <c r="M57" s="69">
        <f t="shared" si="16"/>
        <v>0</v>
      </c>
      <c r="N57" s="69">
        <f t="shared" si="15"/>
        <v>5040709</v>
      </c>
      <c r="O57" s="69">
        <f t="shared" si="15"/>
        <v>120047</v>
      </c>
    </row>
    <row r="58" spans="7:15">
      <c r="G58" s="113" t="s">
        <v>166</v>
      </c>
      <c r="H58" s="81">
        <v>104571193</v>
      </c>
      <c r="I58" s="81">
        <v>13114121</v>
      </c>
      <c r="J58" s="81">
        <v>2498962</v>
      </c>
      <c r="K58" s="81"/>
      <c r="L58" s="81"/>
      <c r="M58" s="81"/>
      <c r="N58" s="84">
        <f t="shared" ref="N58" si="17">IF(COUNT(H58:J58),SUM(H58:J58),"")</f>
        <v>120184276</v>
      </c>
      <c r="O58" s="114">
        <v>4481955</v>
      </c>
    </row>
    <row r="59" spans="7:15">
      <c r="G59" s="83" t="s">
        <v>167</v>
      </c>
      <c r="H59" s="69">
        <f>IF(COUNT(H57:H58),SUM(H57:H58),"")</f>
        <v>109139407</v>
      </c>
      <c r="I59" s="69">
        <f t="shared" ref="I59:O59" si="18">IF(COUNT(I57:I58),SUM(I57:I58),"")</f>
        <v>13731329</v>
      </c>
      <c r="J59" s="69">
        <f t="shared" si="18"/>
        <v>2354249</v>
      </c>
      <c r="K59" s="69">
        <f t="shared" si="18"/>
        <v>0</v>
      </c>
      <c r="L59" s="69">
        <f t="shared" si="18"/>
        <v>0</v>
      </c>
      <c r="M59" s="69">
        <f t="shared" si="18"/>
        <v>0</v>
      </c>
      <c r="N59" s="69">
        <f t="shared" si="18"/>
        <v>125224985</v>
      </c>
      <c r="O59" s="69">
        <f t="shared" si="18"/>
        <v>4602002</v>
      </c>
    </row>
    <row r="60" spans="7:15" ht="15" customHeight="1">
      <c r="G60" s="229" t="s">
        <v>168</v>
      </c>
      <c r="H60" s="230"/>
      <c r="I60" s="230"/>
      <c r="J60" s="230"/>
      <c r="K60" s="230"/>
      <c r="L60" s="230"/>
      <c r="M60" s="231"/>
      <c r="N60" s="69">
        <f>IF(COUNT(N57),SUM(N57),"")</f>
        <v>5040709</v>
      </c>
      <c r="O60" s="227"/>
    </row>
    <row r="61" spans="7:15" ht="18.75" customHeight="1">
      <c r="G61" s="235" t="s">
        <v>169</v>
      </c>
      <c r="H61" s="236"/>
      <c r="I61" s="236"/>
      <c r="J61" s="236"/>
      <c r="K61" s="236"/>
      <c r="L61" s="236"/>
      <c r="M61" s="237"/>
      <c r="N61" s="115">
        <v>34781</v>
      </c>
      <c r="O61" s="238"/>
    </row>
    <row r="62" spans="7:15" ht="17.100000000000001" customHeight="1">
      <c r="G62" s="229" t="s">
        <v>170</v>
      </c>
      <c r="H62" s="230"/>
      <c r="I62" s="230"/>
      <c r="J62" s="230"/>
      <c r="K62" s="230"/>
      <c r="L62" s="230"/>
      <c r="M62" s="231"/>
      <c r="N62" s="69">
        <f>IF(COUNT(N60:N61),SUM(N60:N61),"")</f>
        <v>5075490</v>
      </c>
      <c r="O62" s="228"/>
    </row>
    <row r="63" spans="7:15"/>
    <row r="64" spans="7:15"/>
  </sheetData>
  <sheetProtection algorithmName="SHA-512" hashValue="MZaIvGp/BBo2ID/hZGrWSMG2lS8A3rR4Sba2QsRJqB3IHQkmXWYDst6EtwGKrFlUflre/IOb8mQSU97juE06Tg==" saltValue="UU2kzOTy1fjSzeBL+Xc8yg==" spinCount="100000" sheet="1" objects="1" scenarios="1"/>
  <mergeCells count="13">
    <mergeCell ref="G61:M61"/>
    <mergeCell ref="G60:M60"/>
    <mergeCell ref="G10:N10"/>
    <mergeCell ref="O60:O62"/>
    <mergeCell ref="H11:N11"/>
    <mergeCell ref="H13:O13"/>
    <mergeCell ref="H20:O20"/>
    <mergeCell ref="H38:O38"/>
    <mergeCell ref="H49:O49"/>
    <mergeCell ref="G11:G12"/>
    <mergeCell ref="O11:O12"/>
    <mergeCell ref="H51:O51"/>
    <mergeCell ref="G62:M62"/>
  </mergeCells>
  <dataValidations count="1">
    <dataValidation type="whole" allowBlank="1" showInputMessage="1" showErrorMessage="1" sqref="N60:N62 H14:O59">
      <formula1>-1.11111111111111E+31</formula1>
      <formula2>1.11111111111111E+32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E1:Q118"/>
  <sheetViews>
    <sheetView showGridLines="0" topLeftCell="G55" workbookViewId="0">
      <selection activeCell="G74" sqref="G74"/>
    </sheetView>
  </sheetViews>
  <sheetFormatPr defaultColWidth="0" defaultRowHeight="15" zeroHeight="1"/>
  <cols>
    <col min="1" max="4" width="9.140625" hidden="1" customWidth="1"/>
    <col min="5" max="5" width="2.28515625" customWidth="1"/>
    <col min="6" max="6" width="2" customWidth="1"/>
    <col min="7" max="7" width="54.140625" style="17" customWidth="1"/>
    <col min="8" max="8" width="21.42578125" style="17" customWidth="1"/>
    <col min="9" max="9" width="16.85546875" style="17" customWidth="1"/>
    <col min="10" max="13" width="19.140625" style="17" customWidth="1"/>
    <col min="14" max="14" width="19.28515625" style="17" customWidth="1"/>
    <col min="15" max="15" width="23" style="17" customWidth="1"/>
    <col min="16" max="17" width="2.5703125" customWidth="1"/>
    <col min="18" max="16384" width="9.140625" hidden="1"/>
  </cols>
  <sheetData>
    <row r="1" spans="7:15" hidden="1"/>
    <row r="2" spans="7:15" hidden="1"/>
    <row r="3" spans="7:15" hidden="1"/>
    <row r="4" spans="7:15" hidden="1"/>
    <row r="5" spans="7:15" hidden="1"/>
    <row r="6" spans="7:15" hidden="1"/>
    <row r="7" spans="7:15" hidden="1"/>
    <row r="8" spans="7:15" hidden="1"/>
    <row r="9" spans="7:15" ht="39.950000000000003" customHeight="1"/>
    <row r="10" spans="7:15" ht="24.95" customHeight="1">
      <c r="G10" s="199" t="s">
        <v>242</v>
      </c>
      <c r="H10" s="200"/>
      <c r="I10" s="200"/>
      <c r="J10" s="200"/>
      <c r="K10" s="200"/>
      <c r="L10" s="200"/>
      <c r="M10" s="200"/>
      <c r="N10" s="201"/>
      <c r="O10" s="134" t="s">
        <v>657</v>
      </c>
    </row>
    <row r="11" spans="7:15" ht="25.5" customHeight="1">
      <c r="G11" s="202" t="s">
        <v>3</v>
      </c>
      <c r="H11" s="199" t="s">
        <v>105</v>
      </c>
      <c r="I11" s="200"/>
      <c r="J11" s="200"/>
      <c r="K11" s="200"/>
      <c r="L11" s="200"/>
      <c r="M11" s="200"/>
      <c r="N11" s="201"/>
      <c r="O11" s="202" t="s">
        <v>232</v>
      </c>
    </row>
    <row r="12" spans="7:15" ht="45">
      <c r="G12" s="203"/>
      <c r="H12" s="8" t="s">
        <v>229</v>
      </c>
      <c r="I12" s="8" t="s">
        <v>231</v>
      </c>
      <c r="J12" s="8" t="s">
        <v>230</v>
      </c>
      <c r="K12" s="8" t="s">
        <v>533</v>
      </c>
      <c r="L12" s="8" t="s">
        <v>534</v>
      </c>
      <c r="M12" s="8" t="s">
        <v>535</v>
      </c>
      <c r="N12" s="8" t="s">
        <v>106</v>
      </c>
      <c r="O12" s="203"/>
    </row>
    <row r="13" spans="7:15">
      <c r="G13" s="5" t="s">
        <v>171</v>
      </c>
      <c r="H13" s="204"/>
      <c r="I13" s="205"/>
      <c r="J13" s="205"/>
      <c r="K13" s="205"/>
      <c r="L13" s="205"/>
      <c r="M13" s="205"/>
      <c r="N13" s="205"/>
      <c r="O13" s="206"/>
    </row>
    <row r="14" spans="7:15">
      <c r="G14" s="108" t="s">
        <v>172</v>
      </c>
      <c r="H14" s="63">
        <v>22962381</v>
      </c>
      <c r="I14" s="63">
        <v>10961164</v>
      </c>
      <c r="J14" s="63">
        <v>931619</v>
      </c>
      <c r="K14" s="63"/>
      <c r="L14" s="63"/>
      <c r="M14" s="63"/>
      <c r="N14" s="99">
        <f>+IF(COUNT(H14:M14),SUM(H14:M14),"")</f>
        <v>34855164</v>
      </c>
      <c r="O14" s="100">
        <v>12271268</v>
      </c>
    </row>
    <row r="15" spans="7:15">
      <c r="G15" s="75" t="s">
        <v>173</v>
      </c>
      <c r="H15" s="64">
        <v>0</v>
      </c>
      <c r="I15" s="64">
        <v>0</v>
      </c>
      <c r="J15" s="64">
        <v>0</v>
      </c>
      <c r="K15" s="64"/>
      <c r="L15" s="64"/>
      <c r="M15" s="64"/>
      <c r="N15" s="101">
        <f t="shared" ref="N15:N22" si="0">+IF(COUNT(H15:M15),SUM(H15:M15),"")</f>
        <v>0</v>
      </c>
      <c r="O15" s="102">
        <v>1372500</v>
      </c>
    </row>
    <row r="16" spans="7:15">
      <c r="G16" s="75" t="s">
        <v>174</v>
      </c>
      <c r="H16" s="64">
        <v>0</v>
      </c>
      <c r="I16" s="64">
        <v>0</v>
      </c>
      <c r="J16" s="64">
        <v>0</v>
      </c>
      <c r="K16" s="64"/>
      <c r="L16" s="64"/>
      <c r="M16" s="64"/>
      <c r="N16" s="101">
        <f t="shared" si="0"/>
        <v>0</v>
      </c>
      <c r="O16" s="102">
        <v>0</v>
      </c>
    </row>
    <row r="17" spans="7:15">
      <c r="G17" s="75" t="s">
        <v>671</v>
      </c>
      <c r="H17" s="64"/>
      <c r="I17" s="64"/>
      <c r="J17" s="64"/>
      <c r="K17" s="64"/>
      <c r="L17" s="64"/>
      <c r="M17" s="64"/>
      <c r="N17" s="101" t="str">
        <f t="shared" si="0"/>
        <v/>
      </c>
      <c r="O17" s="102"/>
    </row>
    <row r="18" spans="7:15">
      <c r="G18" s="75" t="s">
        <v>582</v>
      </c>
      <c r="H18" s="64"/>
      <c r="I18" s="64"/>
      <c r="J18" s="64"/>
      <c r="K18" s="64"/>
      <c r="L18" s="64"/>
      <c r="M18" s="64"/>
      <c r="N18" s="101" t="str">
        <f t="shared" si="0"/>
        <v/>
      </c>
      <c r="O18" s="102"/>
    </row>
    <row r="19" spans="7:15">
      <c r="G19" s="75" t="s">
        <v>175</v>
      </c>
      <c r="H19" s="64">
        <v>6324968</v>
      </c>
      <c r="I19" s="64">
        <v>3278186</v>
      </c>
      <c r="J19" s="64">
        <v>409177</v>
      </c>
      <c r="K19" s="64"/>
      <c r="L19" s="64"/>
      <c r="M19" s="64"/>
      <c r="N19" s="101">
        <f t="shared" si="0"/>
        <v>10012331</v>
      </c>
      <c r="O19" s="102">
        <v>967759</v>
      </c>
    </row>
    <row r="20" spans="7:15">
      <c r="G20" s="75" t="s">
        <v>176</v>
      </c>
      <c r="H20" s="64">
        <v>6787900</v>
      </c>
      <c r="I20" s="64">
        <v>5038556</v>
      </c>
      <c r="J20" s="64">
        <v>459013</v>
      </c>
      <c r="K20" s="64"/>
      <c r="L20" s="64"/>
      <c r="M20" s="64"/>
      <c r="N20" s="101">
        <f t="shared" si="0"/>
        <v>12285469</v>
      </c>
      <c r="O20" s="102">
        <v>12497445</v>
      </c>
    </row>
    <row r="21" spans="7:15">
      <c r="G21" s="131" t="s">
        <v>177</v>
      </c>
      <c r="H21" s="64">
        <v>2171061</v>
      </c>
      <c r="I21" s="64">
        <v>898478</v>
      </c>
      <c r="J21" s="64">
        <v>15300</v>
      </c>
      <c r="K21" s="64"/>
      <c r="L21" s="64"/>
      <c r="M21" s="64"/>
      <c r="N21" s="101">
        <f t="shared" si="0"/>
        <v>3084839</v>
      </c>
      <c r="O21" s="102">
        <v>170900</v>
      </c>
    </row>
    <row r="22" spans="7:15">
      <c r="G22" s="109" t="s">
        <v>583</v>
      </c>
      <c r="H22" s="64">
        <v>0</v>
      </c>
      <c r="I22" s="64">
        <v>0</v>
      </c>
      <c r="J22" s="64">
        <v>0</v>
      </c>
      <c r="K22" s="64">
        <v>0</v>
      </c>
      <c r="L22" s="64">
        <v>0</v>
      </c>
      <c r="M22" s="64">
        <v>0</v>
      </c>
      <c r="N22" s="101">
        <f t="shared" si="0"/>
        <v>0</v>
      </c>
      <c r="O22" s="102"/>
    </row>
    <row r="23" spans="7:15">
      <c r="G23" s="83" t="s">
        <v>178</v>
      </c>
      <c r="H23" s="69">
        <f>IF(COUNT(H14:H22),SUM(H14:H18)-SUM(H19:H22),"")</f>
        <v>7678452</v>
      </c>
      <c r="I23" s="69">
        <f t="shared" ref="I23:M23" si="1">IF(COUNT(I14:I22),SUM(I14:I18)-SUM(I19:I22),"")</f>
        <v>1745944</v>
      </c>
      <c r="J23" s="69">
        <f t="shared" si="1"/>
        <v>48129</v>
      </c>
      <c r="K23" s="69">
        <f t="shared" si="1"/>
        <v>0</v>
      </c>
      <c r="L23" s="69">
        <f t="shared" si="1"/>
        <v>0</v>
      </c>
      <c r="M23" s="69">
        <f t="shared" si="1"/>
        <v>0</v>
      </c>
      <c r="N23" s="69">
        <f t="shared" ref="N23" si="2">IF(COUNT(N14:N22),SUM(N14:N18)-SUM(N19:N22),"")</f>
        <v>9472525</v>
      </c>
      <c r="O23" s="69">
        <f t="shared" ref="O23" si="3">IF(COUNT(O14:O22),SUM(O14:O18)-SUM(O19:O22),"")</f>
        <v>7664</v>
      </c>
    </row>
    <row r="24" spans="7:15">
      <c r="G24" s="74" t="s">
        <v>179</v>
      </c>
      <c r="H24" s="207"/>
      <c r="I24" s="208"/>
      <c r="J24" s="208"/>
      <c r="K24" s="208"/>
      <c r="L24" s="208"/>
      <c r="M24" s="208"/>
      <c r="N24" s="208"/>
      <c r="O24" s="209"/>
    </row>
    <row r="25" spans="7:15">
      <c r="G25" s="75" t="s">
        <v>180</v>
      </c>
      <c r="H25" s="64">
        <v>45000</v>
      </c>
      <c r="I25" s="64">
        <v>0</v>
      </c>
      <c r="J25" s="64">
        <v>0</v>
      </c>
      <c r="K25" s="64">
        <v>0</v>
      </c>
      <c r="L25" s="64">
        <v>0</v>
      </c>
      <c r="M25" s="64">
        <v>0</v>
      </c>
      <c r="N25" s="101">
        <f t="shared" ref="N25:N28" si="4">+IF(COUNT(H25:M25),SUM(H25:M25),"")</f>
        <v>45000</v>
      </c>
      <c r="O25" s="102">
        <v>0</v>
      </c>
    </row>
    <row r="26" spans="7:15">
      <c r="G26" s="75" t="s">
        <v>584</v>
      </c>
      <c r="H26" s="64"/>
      <c r="I26" s="64"/>
      <c r="J26" s="64"/>
      <c r="K26" s="64"/>
      <c r="L26" s="64"/>
      <c r="M26" s="64"/>
      <c r="N26" s="101" t="str">
        <f t="shared" si="4"/>
        <v/>
      </c>
      <c r="O26" s="102"/>
    </row>
    <row r="27" spans="7:15">
      <c r="G27" s="75" t="s">
        <v>585</v>
      </c>
      <c r="H27" s="64"/>
      <c r="I27" s="64"/>
      <c r="J27" s="64"/>
      <c r="K27" s="64"/>
      <c r="L27" s="64"/>
      <c r="M27" s="64"/>
      <c r="N27" s="101" t="str">
        <f t="shared" si="4"/>
        <v/>
      </c>
      <c r="O27" s="102"/>
    </row>
    <row r="28" spans="7:15">
      <c r="G28" s="75" t="s">
        <v>586</v>
      </c>
      <c r="H28" s="64"/>
      <c r="I28" s="64"/>
      <c r="J28" s="64"/>
      <c r="K28" s="64"/>
      <c r="L28" s="64"/>
      <c r="M28" s="64"/>
      <c r="N28" s="101" t="str">
        <f t="shared" si="4"/>
        <v/>
      </c>
      <c r="O28" s="102"/>
    </row>
    <row r="29" spans="7:15" ht="30">
      <c r="G29" s="83" t="s">
        <v>181</v>
      </c>
      <c r="H29" s="69">
        <f>+IF(COUNT(H25:H28),SUM(H25:H27)-SUM(H28),"")</f>
        <v>45000</v>
      </c>
      <c r="I29" s="69">
        <f t="shared" ref="I29:O29" si="5">+IF(COUNT(I25:I28),SUM(I25:I27)-SUM(I28),"")</f>
        <v>0</v>
      </c>
      <c r="J29" s="69">
        <f t="shared" si="5"/>
        <v>0</v>
      </c>
      <c r="K29" s="69">
        <f t="shared" si="5"/>
        <v>0</v>
      </c>
      <c r="L29" s="69">
        <f t="shared" si="5"/>
        <v>0</v>
      </c>
      <c r="M29" s="69">
        <f t="shared" si="5"/>
        <v>0</v>
      </c>
      <c r="N29" s="69">
        <f t="shared" si="5"/>
        <v>45000</v>
      </c>
      <c r="O29" s="69">
        <f t="shared" si="5"/>
        <v>0</v>
      </c>
    </row>
    <row r="30" spans="7:15">
      <c r="G30" s="74" t="s">
        <v>182</v>
      </c>
      <c r="H30" s="224"/>
      <c r="I30" s="225"/>
      <c r="J30" s="225"/>
      <c r="K30" s="225"/>
      <c r="L30" s="225"/>
      <c r="M30" s="225"/>
      <c r="N30" s="225"/>
      <c r="O30" s="226"/>
    </row>
    <row r="31" spans="7:15">
      <c r="G31" s="108" t="s">
        <v>183</v>
      </c>
      <c r="H31" s="63">
        <v>535320</v>
      </c>
      <c r="I31" s="63">
        <v>0</v>
      </c>
      <c r="J31" s="63">
        <v>0</v>
      </c>
      <c r="K31" s="63"/>
      <c r="L31" s="63"/>
      <c r="M31" s="63"/>
      <c r="N31" s="99">
        <f t="shared" ref="N31:N41" si="6">+IF(COUNT(H31:M31),SUM(H31:M31),"")</f>
        <v>535320</v>
      </c>
      <c r="O31" s="100">
        <v>0</v>
      </c>
    </row>
    <row r="32" spans="7:15">
      <c r="G32" s="75" t="s">
        <v>184</v>
      </c>
      <c r="H32" s="64">
        <v>21392410</v>
      </c>
      <c r="I32" s="64">
        <v>0</v>
      </c>
      <c r="J32" s="64">
        <v>0</v>
      </c>
      <c r="K32" s="64"/>
      <c r="L32" s="64"/>
      <c r="M32" s="64"/>
      <c r="N32" s="101">
        <f t="shared" si="6"/>
        <v>21392410</v>
      </c>
      <c r="O32" s="102">
        <v>0</v>
      </c>
    </row>
    <row r="33" spans="7:15">
      <c r="G33" s="75" t="s">
        <v>185</v>
      </c>
      <c r="H33" s="64">
        <v>112213</v>
      </c>
      <c r="I33" s="64">
        <v>307134</v>
      </c>
      <c r="J33" s="64">
        <v>0</v>
      </c>
      <c r="K33" s="64"/>
      <c r="L33" s="64"/>
      <c r="M33" s="64"/>
      <c r="N33" s="101">
        <f t="shared" si="6"/>
        <v>419347</v>
      </c>
      <c r="O33" s="102">
        <v>45985</v>
      </c>
    </row>
    <row r="34" spans="7:15">
      <c r="G34" s="75" t="s">
        <v>186</v>
      </c>
      <c r="H34" s="64">
        <v>45456726</v>
      </c>
      <c r="I34" s="64">
        <v>2334963</v>
      </c>
      <c r="J34" s="64">
        <v>21743</v>
      </c>
      <c r="K34" s="64"/>
      <c r="L34" s="64"/>
      <c r="M34" s="64"/>
      <c r="N34" s="101">
        <f t="shared" si="6"/>
        <v>47813432</v>
      </c>
      <c r="O34" s="102">
        <v>3165</v>
      </c>
    </row>
    <row r="35" spans="7:15">
      <c r="G35" s="75" t="s">
        <v>159</v>
      </c>
      <c r="H35" s="64">
        <v>427848</v>
      </c>
      <c r="I35" s="64">
        <v>0</v>
      </c>
      <c r="J35" s="64">
        <v>0</v>
      </c>
      <c r="K35" s="64"/>
      <c r="L35" s="64"/>
      <c r="M35" s="64"/>
      <c r="N35" s="101">
        <f t="shared" si="6"/>
        <v>427848</v>
      </c>
      <c r="O35" s="102">
        <v>0</v>
      </c>
    </row>
    <row r="36" spans="7:15">
      <c r="G36" s="75" t="s">
        <v>187</v>
      </c>
      <c r="H36" s="64">
        <v>609855</v>
      </c>
      <c r="I36" s="64">
        <v>0</v>
      </c>
      <c r="J36" s="64">
        <v>0</v>
      </c>
      <c r="K36" s="64"/>
      <c r="L36" s="64"/>
      <c r="M36" s="64"/>
      <c r="N36" s="101">
        <f t="shared" si="6"/>
        <v>609855</v>
      </c>
      <c r="O36" s="102">
        <v>0</v>
      </c>
    </row>
    <row r="37" spans="7:15">
      <c r="G37" s="75" t="s">
        <v>188</v>
      </c>
      <c r="H37" s="64">
        <v>70730</v>
      </c>
      <c r="I37" s="64">
        <v>0</v>
      </c>
      <c r="J37" s="64">
        <v>0</v>
      </c>
      <c r="K37" s="64"/>
      <c r="L37" s="64"/>
      <c r="M37" s="64"/>
      <c r="N37" s="101">
        <f t="shared" si="6"/>
        <v>70730</v>
      </c>
      <c r="O37" s="102">
        <v>0</v>
      </c>
    </row>
    <row r="38" spans="7:15">
      <c r="G38" s="75" t="s">
        <v>587</v>
      </c>
      <c r="H38" s="64"/>
      <c r="I38" s="64"/>
      <c r="J38" s="64"/>
      <c r="K38" s="64"/>
      <c r="L38" s="64"/>
      <c r="M38" s="64"/>
      <c r="N38" s="101" t="str">
        <f t="shared" si="6"/>
        <v/>
      </c>
      <c r="O38" s="102"/>
    </row>
    <row r="39" spans="7:15">
      <c r="G39" s="75" t="s">
        <v>588</v>
      </c>
      <c r="H39" s="64"/>
      <c r="I39" s="64"/>
      <c r="J39" s="64"/>
      <c r="K39" s="64"/>
      <c r="L39" s="64"/>
      <c r="M39" s="64"/>
      <c r="N39" s="101" t="str">
        <f t="shared" si="6"/>
        <v/>
      </c>
      <c r="O39" s="102"/>
    </row>
    <row r="40" spans="7:15">
      <c r="G40" s="75" t="s">
        <v>589</v>
      </c>
      <c r="H40" s="64"/>
      <c r="I40" s="64"/>
      <c r="J40" s="64"/>
      <c r="K40" s="64"/>
      <c r="L40" s="64"/>
      <c r="M40" s="64"/>
      <c r="N40" s="101" t="str">
        <f t="shared" si="6"/>
        <v/>
      </c>
      <c r="O40" s="102"/>
    </row>
    <row r="41" spans="7:15">
      <c r="G41" s="75" t="s">
        <v>667</v>
      </c>
      <c r="H41" s="64"/>
      <c r="I41" s="64"/>
      <c r="J41" s="64"/>
      <c r="K41" s="64"/>
      <c r="L41" s="64"/>
      <c r="M41" s="64"/>
      <c r="N41" s="101" t="str">
        <f t="shared" si="6"/>
        <v/>
      </c>
      <c r="O41" s="102"/>
    </row>
    <row r="42" spans="7:15">
      <c r="G42" s="116" t="s">
        <v>519</v>
      </c>
      <c r="H42" s="69">
        <f>IF(COUNT(H31:H41),SUM(H31:H33,H38:H39,H41)-SUM(H34:H37,H40),"")</f>
        <v>-24525216</v>
      </c>
      <c r="I42" s="69">
        <f t="shared" ref="I42:O42" si="7">IF(COUNT(I31:I41),SUM(I31:I33,I38:I39,I41)-SUM(I34:I37,I40),"")</f>
        <v>-2027829</v>
      </c>
      <c r="J42" s="69">
        <f t="shared" si="7"/>
        <v>-21743</v>
      </c>
      <c r="K42" s="69" t="str">
        <f t="shared" ref="K42:M42" si="8">IF(COUNT(K31:K41),SUM(K31:K33,K38:K39,K41)-SUM(K34:K37,K40),"")</f>
        <v/>
      </c>
      <c r="L42" s="69" t="str">
        <f t="shared" si="8"/>
        <v/>
      </c>
      <c r="M42" s="69" t="str">
        <f t="shared" si="8"/>
        <v/>
      </c>
      <c r="N42" s="69">
        <f t="shared" si="7"/>
        <v>-26574788</v>
      </c>
      <c r="O42" s="69">
        <f t="shared" si="7"/>
        <v>42820</v>
      </c>
    </row>
    <row r="43" spans="7:15" ht="32.25" customHeight="1">
      <c r="G43" s="116" t="s">
        <v>189</v>
      </c>
      <c r="H43" s="69">
        <f>IF(COUNT(H29,H42),SUM(H42)-SUM(H29),"")</f>
        <v>-24570216</v>
      </c>
      <c r="I43" s="69">
        <f>IF(COUNT(I29,I42),SUM(I42)-SUM(I29),"")</f>
        <v>-2027829</v>
      </c>
      <c r="J43" s="69">
        <f>IF(COUNT(J29,J42),SUM(J42)-SUM(J29),"")</f>
        <v>-21743</v>
      </c>
      <c r="K43" s="69">
        <f t="shared" ref="K43:M43" si="9">IF(COUNT(K29,K42),SUM(K42)-SUM(K29),"")</f>
        <v>0</v>
      </c>
      <c r="L43" s="69">
        <f t="shared" si="9"/>
        <v>0</v>
      </c>
      <c r="M43" s="69">
        <f t="shared" si="9"/>
        <v>0</v>
      </c>
      <c r="N43" s="69">
        <f>IF(COUNT(N29,N42),SUM(N42)-SUM(N29),"")</f>
        <v>-26619788</v>
      </c>
      <c r="O43" s="69">
        <f>IF(COUNT(O29,O42),SUM(O42)-SUM(O29),"")</f>
        <v>42820</v>
      </c>
    </row>
    <row r="44" spans="7:15">
      <c r="G44" s="74" t="s">
        <v>190</v>
      </c>
      <c r="H44" s="224"/>
      <c r="I44" s="225"/>
      <c r="J44" s="225"/>
      <c r="K44" s="225"/>
      <c r="L44" s="225"/>
      <c r="M44" s="225"/>
      <c r="N44" s="225"/>
      <c r="O44" s="226"/>
    </row>
    <row r="45" spans="7:15">
      <c r="G45" s="117" t="s">
        <v>514</v>
      </c>
      <c r="H45" s="81">
        <v>362400</v>
      </c>
      <c r="I45" s="81">
        <v>48811</v>
      </c>
      <c r="J45" s="81">
        <v>3221</v>
      </c>
      <c r="K45" s="81">
        <v>0</v>
      </c>
      <c r="L45" s="81">
        <v>0</v>
      </c>
      <c r="M45" s="81">
        <v>0</v>
      </c>
      <c r="N45" s="84">
        <f t="shared" ref="N45" si="10">+IF(COUNT(H45:M45),SUM(H45:M45),"")</f>
        <v>414432</v>
      </c>
      <c r="O45" s="81">
        <v>39753</v>
      </c>
    </row>
    <row r="46" spans="7:15">
      <c r="G46" s="116" t="s">
        <v>191</v>
      </c>
      <c r="H46" s="69">
        <f>IF(COUNT(H45),SUM(H45),"")</f>
        <v>362400</v>
      </c>
      <c r="I46" s="69">
        <f t="shared" ref="I46:O46" si="11">IF(COUNT(I45),SUM(I45),"")</f>
        <v>48811</v>
      </c>
      <c r="J46" s="69">
        <f t="shared" si="11"/>
        <v>3221</v>
      </c>
      <c r="K46" s="69">
        <f t="shared" ref="K46:M46" si="12">IF(COUNT(K45),SUM(K45),"")</f>
        <v>0</v>
      </c>
      <c r="L46" s="69">
        <f t="shared" si="12"/>
        <v>0</v>
      </c>
      <c r="M46" s="69">
        <f t="shared" si="12"/>
        <v>0</v>
      </c>
      <c r="N46" s="69">
        <f t="shared" si="11"/>
        <v>414432</v>
      </c>
      <c r="O46" s="69">
        <f t="shared" si="11"/>
        <v>39753</v>
      </c>
    </row>
    <row r="47" spans="7:15" ht="30">
      <c r="G47" s="116" t="s">
        <v>233</v>
      </c>
      <c r="H47" s="69">
        <f>IF(COUNT(H23,H43,H46),SUM(H23,H43,H46),"")</f>
        <v>-16529364</v>
      </c>
      <c r="I47" s="69">
        <f>IF(COUNT(I23,I43,I46),SUM(I23,I43,I46),"")</f>
        <v>-233074</v>
      </c>
      <c r="J47" s="69">
        <f>IF(COUNT(J23,J43,J46),SUM(J23,J43,J46),"")</f>
        <v>29607</v>
      </c>
      <c r="K47" s="69">
        <f t="shared" ref="K47:M47" si="13">IF(COUNT(K23,K43,K46),SUM(K23,K43,K46),"")</f>
        <v>0</v>
      </c>
      <c r="L47" s="69">
        <f t="shared" si="13"/>
        <v>0</v>
      </c>
      <c r="M47" s="69">
        <f t="shared" si="13"/>
        <v>0</v>
      </c>
      <c r="N47" s="69">
        <f>IF(COUNT(N23,N43,N46),SUM(N23,N43,N46),"")</f>
        <v>-16732831</v>
      </c>
      <c r="O47" s="69">
        <f>IF(COUNT(O23,O43,O46),SUM(O23,O43,O46),"")</f>
        <v>90237</v>
      </c>
    </row>
    <row r="48" spans="7:15" ht="30">
      <c r="G48" s="118" t="s">
        <v>192</v>
      </c>
      <c r="H48" s="81">
        <v>42012146</v>
      </c>
      <c r="I48" s="81">
        <v>6876985</v>
      </c>
      <c r="J48" s="81">
        <v>392361</v>
      </c>
      <c r="K48" s="81"/>
      <c r="L48" s="81"/>
      <c r="M48" s="81"/>
      <c r="N48" s="84">
        <f t="shared" ref="N48" si="14">+IF(COUNT(H48:M48),SUM(H48:M48),"")</f>
        <v>49281492</v>
      </c>
      <c r="O48" s="114">
        <v>5817126</v>
      </c>
    </row>
    <row r="49" spans="7:15">
      <c r="G49" s="116" t="s">
        <v>193</v>
      </c>
      <c r="H49" s="69">
        <f>+IF(COUNT(H47:H48),SUM(H47:H48),"")</f>
        <v>25482782</v>
      </c>
      <c r="I49" s="69">
        <f t="shared" ref="I49:O49" si="15">+IF(COUNT(I47:I48),SUM(I47:I48),"")</f>
        <v>6643911</v>
      </c>
      <c r="J49" s="69">
        <f t="shared" si="15"/>
        <v>421968</v>
      </c>
      <c r="K49" s="69"/>
      <c r="L49" s="69"/>
      <c r="M49" s="69"/>
      <c r="N49" s="69">
        <f t="shared" si="15"/>
        <v>32548661</v>
      </c>
      <c r="O49" s="69">
        <f t="shared" si="15"/>
        <v>5907363</v>
      </c>
    </row>
    <row r="50" spans="7:15" ht="18.75" customHeight="1">
      <c r="G50" s="73"/>
      <c r="H50" s="73"/>
      <c r="I50" s="73"/>
      <c r="J50" s="73"/>
      <c r="K50" s="73"/>
      <c r="L50" s="73"/>
      <c r="M50" s="73"/>
      <c r="N50" s="73"/>
      <c r="O50" s="73"/>
    </row>
    <row r="51" spans="7:15" ht="27" customHeight="1">
      <c r="G51" s="239" t="s">
        <v>194</v>
      </c>
      <c r="H51" s="240"/>
      <c r="I51" s="240"/>
      <c r="J51" s="240"/>
      <c r="K51" s="240"/>
      <c r="L51" s="240"/>
      <c r="M51" s="240"/>
      <c r="N51" s="240"/>
      <c r="O51" s="241"/>
    </row>
    <row r="52" spans="7:15">
      <c r="G52" s="82" t="s">
        <v>195</v>
      </c>
      <c r="H52" s="81">
        <v>3947580</v>
      </c>
      <c r="I52" s="81">
        <v>256768</v>
      </c>
      <c r="J52" s="81">
        <v>-161011</v>
      </c>
      <c r="K52" s="81">
        <v>0</v>
      </c>
      <c r="L52" s="81">
        <v>0</v>
      </c>
      <c r="M52" s="81">
        <v>0</v>
      </c>
      <c r="N52" s="81">
        <f t="shared" ref="N52:N71" si="16">+IF(COUNT(H52:M52),SUM(H52:M52),"")</f>
        <v>4043337</v>
      </c>
      <c r="O52" s="81">
        <v>39097</v>
      </c>
    </row>
    <row r="53" spans="7:15" ht="30">
      <c r="G53" s="74" t="s">
        <v>196</v>
      </c>
      <c r="H53" s="207"/>
      <c r="I53" s="208"/>
      <c r="J53" s="208"/>
      <c r="K53" s="208"/>
      <c r="L53" s="208"/>
      <c r="M53" s="208"/>
      <c r="N53" s="208"/>
      <c r="O53" s="209"/>
    </row>
    <row r="54" spans="7:15">
      <c r="G54" s="108" t="s">
        <v>197</v>
      </c>
      <c r="H54" s="63">
        <v>7516</v>
      </c>
      <c r="I54" s="63">
        <v>0</v>
      </c>
      <c r="J54" s="63">
        <v>12400</v>
      </c>
      <c r="K54" s="63"/>
      <c r="L54" s="63"/>
      <c r="M54" s="63"/>
      <c r="N54" s="99">
        <f t="shared" si="16"/>
        <v>19916</v>
      </c>
      <c r="O54" s="100">
        <v>11576</v>
      </c>
    </row>
    <row r="55" spans="7:15">
      <c r="G55" s="109" t="s">
        <v>198</v>
      </c>
      <c r="H55" s="66">
        <v>4610391</v>
      </c>
      <c r="I55" s="66">
        <v>1399601</v>
      </c>
      <c r="J55" s="66">
        <v>190747</v>
      </c>
      <c r="K55" s="66"/>
      <c r="L55" s="66"/>
      <c r="M55" s="66"/>
      <c r="N55" s="103">
        <f t="shared" si="16"/>
        <v>6200739</v>
      </c>
      <c r="O55" s="104">
        <v>34465</v>
      </c>
    </row>
    <row r="56" spans="7:15">
      <c r="G56" s="74" t="s">
        <v>590</v>
      </c>
      <c r="H56" s="207"/>
      <c r="I56" s="208"/>
      <c r="J56" s="208"/>
      <c r="K56" s="208"/>
      <c r="L56" s="208"/>
      <c r="M56" s="208"/>
      <c r="N56" s="208"/>
      <c r="O56" s="209"/>
    </row>
    <row r="57" spans="7:15">
      <c r="G57" s="108" t="s">
        <v>199</v>
      </c>
      <c r="H57" s="63">
        <v>124548</v>
      </c>
      <c r="I57" s="63">
        <v>95973</v>
      </c>
      <c r="J57" s="63">
        <v>0</v>
      </c>
      <c r="K57" s="63"/>
      <c r="L57" s="63"/>
      <c r="M57" s="63"/>
      <c r="N57" s="99">
        <f t="shared" si="16"/>
        <v>220521</v>
      </c>
      <c r="O57" s="100">
        <v>239545</v>
      </c>
    </row>
    <row r="58" spans="7:15">
      <c r="G58" s="119" t="s">
        <v>200</v>
      </c>
      <c r="H58" s="64">
        <v>-203737</v>
      </c>
      <c r="I58" s="64">
        <v>0</v>
      </c>
      <c r="J58" s="64">
        <v>1888</v>
      </c>
      <c r="K58" s="64"/>
      <c r="L58" s="64"/>
      <c r="M58" s="64"/>
      <c r="N58" s="101">
        <f t="shared" si="16"/>
        <v>-201849</v>
      </c>
      <c r="O58" s="102">
        <v>80858</v>
      </c>
    </row>
    <row r="59" spans="7:15">
      <c r="G59" s="119" t="s">
        <v>201</v>
      </c>
      <c r="H59" s="105">
        <v>0</v>
      </c>
      <c r="I59" s="105">
        <v>0</v>
      </c>
      <c r="J59" s="105">
        <v>0</v>
      </c>
      <c r="K59" s="105"/>
      <c r="L59" s="105"/>
      <c r="M59" s="105"/>
      <c r="N59" s="106">
        <f t="shared" si="16"/>
        <v>0</v>
      </c>
      <c r="O59" s="107">
        <v>326</v>
      </c>
    </row>
    <row r="60" spans="7:15">
      <c r="G60" s="119" t="s">
        <v>497</v>
      </c>
      <c r="H60" s="105">
        <v>720685</v>
      </c>
      <c r="I60" s="105">
        <v>-53189</v>
      </c>
      <c r="J60" s="105">
        <v>-13568</v>
      </c>
      <c r="K60" s="105"/>
      <c r="L60" s="105"/>
      <c r="M60" s="105"/>
      <c r="N60" s="106">
        <f t="shared" si="16"/>
        <v>653928</v>
      </c>
      <c r="O60" s="107">
        <v>-28355</v>
      </c>
    </row>
    <row r="61" spans="7:15">
      <c r="G61" s="119" t="s">
        <v>499</v>
      </c>
      <c r="H61" s="105">
        <v>87581</v>
      </c>
      <c r="I61" s="105">
        <v>59587</v>
      </c>
      <c r="J61" s="105">
        <v>18678</v>
      </c>
      <c r="K61" s="105"/>
      <c r="L61" s="105"/>
      <c r="M61" s="105"/>
      <c r="N61" s="106">
        <f t="shared" si="16"/>
        <v>165846</v>
      </c>
      <c r="O61" s="107">
        <v>34022</v>
      </c>
    </row>
    <row r="62" spans="7:15">
      <c r="G62" s="119" t="s">
        <v>501</v>
      </c>
      <c r="H62" s="64">
        <v>420</v>
      </c>
      <c r="I62" s="64">
        <v>0</v>
      </c>
      <c r="J62" s="64">
        <v>0</v>
      </c>
      <c r="K62" s="64"/>
      <c r="L62" s="64"/>
      <c r="M62" s="64"/>
      <c r="N62" s="101">
        <f t="shared" si="16"/>
        <v>420</v>
      </c>
      <c r="O62" s="102">
        <v>0</v>
      </c>
    </row>
    <row r="63" spans="7:15">
      <c r="G63" s="119" t="s">
        <v>503</v>
      </c>
      <c r="H63" s="64">
        <v>0</v>
      </c>
      <c r="I63" s="64">
        <v>0</v>
      </c>
      <c r="J63" s="64">
        <v>9215</v>
      </c>
      <c r="K63" s="64"/>
      <c r="L63" s="64"/>
      <c r="M63" s="64"/>
      <c r="N63" s="101">
        <f t="shared" si="16"/>
        <v>9215</v>
      </c>
      <c r="O63" s="102">
        <v>-262884</v>
      </c>
    </row>
    <row r="64" spans="7:15">
      <c r="G64" s="159" t="s">
        <v>516</v>
      </c>
      <c r="H64" s="105">
        <v>0</v>
      </c>
      <c r="I64" s="105">
        <v>0</v>
      </c>
      <c r="J64" s="105">
        <v>0</v>
      </c>
      <c r="K64" s="105">
        <v>0</v>
      </c>
      <c r="L64" s="105">
        <v>0</v>
      </c>
      <c r="M64" s="105">
        <v>0</v>
      </c>
      <c r="N64" s="106">
        <f t="shared" si="16"/>
        <v>0</v>
      </c>
      <c r="O64" s="107">
        <v>129000</v>
      </c>
    </row>
    <row r="65" spans="7:15">
      <c r="G65" s="159" t="s">
        <v>591</v>
      </c>
      <c r="H65" s="142"/>
      <c r="I65" s="142"/>
      <c r="J65" s="142"/>
      <c r="K65" s="142"/>
      <c r="L65" s="142"/>
      <c r="M65" s="142"/>
      <c r="N65" s="101" t="str">
        <f t="shared" si="16"/>
        <v/>
      </c>
      <c r="O65" s="153"/>
    </row>
    <row r="66" spans="7:15">
      <c r="G66" s="159" t="s">
        <v>592</v>
      </c>
      <c r="H66" s="142"/>
      <c r="I66" s="142"/>
      <c r="J66" s="142"/>
      <c r="K66" s="142"/>
      <c r="L66" s="142"/>
      <c r="M66" s="142"/>
      <c r="N66" s="101" t="str">
        <f t="shared" si="16"/>
        <v/>
      </c>
      <c r="O66" s="153"/>
    </row>
    <row r="67" spans="7:15">
      <c r="G67" s="159" t="s">
        <v>593</v>
      </c>
      <c r="H67" s="142"/>
      <c r="I67" s="142"/>
      <c r="J67" s="142"/>
      <c r="K67" s="142"/>
      <c r="L67" s="142"/>
      <c r="M67" s="142"/>
      <c r="N67" s="101" t="str">
        <f t="shared" si="16"/>
        <v/>
      </c>
      <c r="O67" s="153"/>
    </row>
    <row r="68" spans="7:15">
      <c r="G68" s="159" t="s">
        <v>594</v>
      </c>
      <c r="H68" s="142"/>
      <c r="I68" s="142"/>
      <c r="J68" s="142"/>
      <c r="K68" s="142"/>
      <c r="L68" s="142"/>
      <c r="M68" s="142"/>
      <c r="N68" s="101" t="str">
        <f t="shared" si="16"/>
        <v/>
      </c>
      <c r="O68" s="153"/>
    </row>
    <row r="69" spans="7:15">
      <c r="G69" s="159" t="s">
        <v>595</v>
      </c>
      <c r="H69" s="142"/>
      <c r="I69" s="142"/>
      <c r="J69" s="142"/>
      <c r="K69" s="142"/>
      <c r="L69" s="142"/>
      <c r="M69" s="142"/>
      <c r="N69" s="101" t="str">
        <f t="shared" si="16"/>
        <v/>
      </c>
      <c r="O69" s="153"/>
    </row>
    <row r="70" spans="7:15">
      <c r="G70" s="159" t="s">
        <v>596</v>
      </c>
      <c r="H70" s="142"/>
      <c r="I70" s="142"/>
      <c r="J70" s="142"/>
      <c r="K70" s="142"/>
      <c r="L70" s="142"/>
      <c r="M70" s="142"/>
      <c r="N70" s="101" t="str">
        <f t="shared" si="16"/>
        <v/>
      </c>
      <c r="O70" s="153"/>
    </row>
    <row r="71" spans="7:15">
      <c r="G71" s="159" t="s">
        <v>597</v>
      </c>
      <c r="H71" s="168"/>
      <c r="I71" s="168"/>
      <c r="J71" s="168"/>
      <c r="K71" s="168"/>
      <c r="L71" s="168"/>
      <c r="M71" s="168"/>
      <c r="N71" s="169" t="str">
        <f t="shared" si="16"/>
        <v/>
      </c>
      <c r="O71" s="168"/>
    </row>
    <row r="72" spans="7:15">
      <c r="G72" s="116" t="s">
        <v>202</v>
      </c>
      <c r="H72" s="69">
        <f>IF(COUNT(H57:H71),SUM(H57:H58,H62:H63,H65:H71)-SUM(H59:H61,H64),"")</f>
        <v>-887035</v>
      </c>
      <c r="I72" s="69">
        <f t="shared" ref="I72:O72" si="17">IF(COUNT(I57:I71),SUM(I57:I58,I62:I63,I65:I71)-SUM(I59:I61,I64),"")</f>
        <v>89575</v>
      </c>
      <c r="J72" s="69">
        <f t="shared" si="17"/>
        <v>5993</v>
      </c>
      <c r="K72" s="69">
        <f t="shared" ref="K72:M72" si="18">IF(COUNT(K57:K71),SUM(K57:K58,K62:K63,K65:K71)-SUM(K59:K61,K64),"")</f>
        <v>0</v>
      </c>
      <c r="L72" s="69">
        <f t="shared" si="18"/>
        <v>0</v>
      </c>
      <c r="M72" s="69">
        <f t="shared" si="18"/>
        <v>0</v>
      </c>
      <c r="N72" s="69">
        <f t="shared" si="17"/>
        <v>-791467</v>
      </c>
      <c r="O72" s="69">
        <f t="shared" si="17"/>
        <v>-77474</v>
      </c>
    </row>
    <row r="73" spans="7:15" ht="30">
      <c r="G73" s="116" t="s">
        <v>203</v>
      </c>
      <c r="H73" s="69">
        <f>IF(COUNT(H54:H55,H72),SUM(H54:H55,H72),"")</f>
        <v>3730872</v>
      </c>
      <c r="I73" s="69">
        <f>IF(COUNT(I54:I55,I72),SUM(I54:I55,I72),"")</f>
        <v>1489176</v>
      </c>
      <c r="J73" s="69">
        <f>IF(COUNT(J54:J55,J72),SUM(J54:J55,J72),"")</f>
        <v>209140</v>
      </c>
      <c r="K73" s="69">
        <f t="shared" ref="K73:M73" si="19">IF(COUNT(K54:K55,K72),SUM(K54:K55,K72),"")</f>
        <v>0</v>
      </c>
      <c r="L73" s="69">
        <f t="shared" si="19"/>
        <v>0</v>
      </c>
      <c r="M73" s="69">
        <f t="shared" si="19"/>
        <v>0</v>
      </c>
      <c r="N73" s="69">
        <f>IF(COUNT(N54:N55,N72),SUM(N54:N55,N72),"")</f>
        <v>5429188</v>
      </c>
      <c r="O73" s="69">
        <f>IF(COUNT(O54:O55,O72),SUM(O54:O55,O72),"")</f>
        <v>-31433</v>
      </c>
    </row>
    <row r="74" spans="7:15">
      <c r="G74" s="116" t="s">
        <v>178</v>
      </c>
      <c r="H74" s="69">
        <f>IF(COUNT(H52,H73),SUM(H52,H73),"")</f>
        <v>7678452</v>
      </c>
      <c r="I74" s="69">
        <f>IF(COUNT(I52,I73),SUM(I52,I73),"")</f>
        <v>1745944</v>
      </c>
      <c r="J74" s="69">
        <f>IF(COUNT(J52,J73),SUM(J52,J73),"")</f>
        <v>48129</v>
      </c>
      <c r="K74" s="69">
        <f t="shared" ref="K74:M74" si="20">IF(COUNT(K52,K73),SUM(K52,K73),"")</f>
        <v>0</v>
      </c>
      <c r="L74" s="69">
        <f t="shared" si="20"/>
        <v>0</v>
      </c>
      <c r="M74" s="69">
        <f t="shared" si="20"/>
        <v>0</v>
      </c>
      <c r="N74" s="69">
        <f>IF(COUNT(N52,N73),SUM(N52,N73),"")</f>
        <v>9472525</v>
      </c>
      <c r="O74" s="69">
        <f>IF(COUNT(O52,O73),SUM(O52,O73),"")</f>
        <v>7664</v>
      </c>
    </row>
    <row r="75" spans="7:15"/>
    <row r="76" spans="7:15" hidden="1"/>
    <row r="77" spans="7:15" hidden="1"/>
    <row r="78" spans="7:15" hidden="1"/>
    <row r="79" spans="7:15" hidden="1"/>
    <row r="80" spans="7:15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</sheetData>
  <sheetProtection algorithmName="SHA-512" hashValue="ERHKN+Qq9HO20LhllICEYRvbNQcleGgmt4sUZB3LP/OvpY2uGlWGaEgB+Kqu4ldiBOvce2mnyoe4pmVumSH1+A==" saltValue="JFQ5YXXsJGR1v9/xTF+6PQ==" spinCount="100000" sheet="1" objects="1" scenarios="1"/>
  <mergeCells count="11">
    <mergeCell ref="G10:N10"/>
    <mergeCell ref="G51:O51"/>
    <mergeCell ref="H53:O53"/>
    <mergeCell ref="H56:O56"/>
    <mergeCell ref="H11:N11"/>
    <mergeCell ref="H13:O13"/>
    <mergeCell ref="H24:O24"/>
    <mergeCell ref="H30:O30"/>
    <mergeCell ref="H44:O44"/>
    <mergeCell ref="O11:O12"/>
    <mergeCell ref="G11:G12"/>
  </mergeCells>
  <dataValidations count="1">
    <dataValidation type="whole" allowBlank="1" showInputMessage="1" showErrorMessage="1" sqref="H14:O23 H25:O29 H31:O43 H45:O49 H52:O52 H54:O55 H57:O74">
      <formula1>-1.11111111111111E+22</formula1>
      <formula2>1.11111111111111E+31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H26"/>
  <sheetViews>
    <sheetView showGridLines="0" topLeftCell="C8" workbookViewId="0">
      <selection activeCell="C8" sqref="C8"/>
    </sheetView>
  </sheetViews>
  <sheetFormatPr defaultColWidth="0" defaultRowHeight="15" zeroHeight="1"/>
  <cols>
    <col min="1" max="2" width="9.140625" hidden="1" customWidth="1"/>
    <col min="3" max="4" width="2.7109375" customWidth="1"/>
    <col min="5" max="5" width="41.5703125" customWidth="1"/>
    <col min="6" max="6" width="37.28515625" customWidth="1"/>
    <col min="7" max="8" width="2.7109375" customWidth="1"/>
    <col min="9" max="16384" width="9.140625" hidden="1"/>
  </cols>
  <sheetData>
    <row r="1" spans="5:6" hidden="1"/>
    <row r="2" spans="5:6" hidden="1"/>
    <row r="3" spans="5:6" hidden="1"/>
    <row r="4" spans="5:6" hidden="1"/>
    <row r="5" spans="5:6" hidden="1"/>
    <row r="6" spans="5:6" hidden="1"/>
    <row r="7" spans="5:6" hidden="1"/>
    <row r="8" spans="5:6" ht="36.950000000000003" customHeight="1"/>
    <row r="9" spans="5:6" ht="35.1" customHeight="1">
      <c r="E9" s="195" t="s">
        <v>692</v>
      </c>
      <c r="F9" s="197"/>
    </row>
    <row r="10" spans="5:6" ht="20.100000000000001" customHeight="1">
      <c r="E10" s="46" t="s">
        <v>676</v>
      </c>
      <c r="F10" s="178" t="s">
        <v>782</v>
      </c>
    </row>
    <row r="11" spans="5:6" ht="20.100000000000001" customHeight="1">
      <c r="E11" s="170" t="s">
        <v>677</v>
      </c>
      <c r="F11" s="43" t="s">
        <v>767</v>
      </c>
    </row>
    <row r="12" spans="5:6" ht="20.100000000000001" customHeight="1">
      <c r="E12" s="170" t="s">
        <v>678</v>
      </c>
      <c r="F12" s="43" t="s">
        <v>768</v>
      </c>
    </row>
    <row r="13" spans="5:6" ht="20.100000000000001" customHeight="1">
      <c r="E13" s="170" t="s">
        <v>679</v>
      </c>
      <c r="F13" s="43">
        <v>34</v>
      </c>
    </row>
    <row r="14" spans="5:6" ht="20.100000000000001" customHeight="1">
      <c r="E14" s="170" t="s">
        <v>680</v>
      </c>
      <c r="F14" s="183">
        <v>1175000</v>
      </c>
    </row>
    <row r="15" spans="5:6" ht="20.100000000000001" customHeight="1">
      <c r="E15" s="170" t="s">
        <v>681</v>
      </c>
      <c r="F15" s="183">
        <v>914000</v>
      </c>
    </row>
    <row r="16" spans="5:6" ht="20.100000000000001" customHeight="1">
      <c r="E16" s="170" t="s">
        <v>682</v>
      </c>
      <c r="F16" s="43" t="s">
        <v>781</v>
      </c>
    </row>
    <row r="17" spans="5:6" ht="20.100000000000001" customHeight="1">
      <c r="E17" s="170" t="s">
        <v>683</v>
      </c>
      <c r="F17" s="43">
        <v>0</v>
      </c>
    </row>
    <row r="18" spans="5:6" ht="20.100000000000001" customHeight="1">
      <c r="E18" s="170" t="s">
        <v>684</v>
      </c>
      <c r="F18" s="183">
        <v>7308000</v>
      </c>
    </row>
    <row r="19" spans="5:6" ht="20.100000000000001" customHeight="1">
      <c r="E19" s="170" t="s">
        <v>685</v>
      </c>
      <c r="F19" s="183">
        <v>6286000</v>
      </c>
    </row>
    <row r="20" spans="5:6" ht="20.100000000000001" customHeight="1">
      <c r="E20" s="170" t="s">
        <v>686</v>
      </c>
      <c r="F20" s="43" t="s">
        <v>768</v>
      </c>
    </row>
    <row r="21" spans="5:6" ht="20.100000000000001" customHeight="1">
      <c r="E21" s="170" t="s">
        <v>687</v>
      </c>
      <c r="F21" s="43" t="s">
        <v>769</v>
      </c>
    </row>
    <row r="22" spans="5:6" ht="20.100000000000001" customHeight="1">
      <c r="E22" s="170" t="s">
        <v>688</v>
      </c>
      <c r="F22" s="43" t="s">
        <v>770</v>
      </c>
    </row>
    <row r="23" spans="5:6" ht="20.100000000000001" customHeight="1">
      <c r="E23" s="170" t="s">
        <v>689</v>
      </c>
      <c r="F23" s="43" t="s">
        <v>768</v>
      </c>
    </row>
    <row r="24" spans="5:6" ht="20.100000000000001" customHeight="1">
      <c r="E24" s="170" t="s">
        <v>690</v>
      </c>
      <c r="F24" s="43" t="s">
        <v>768</v>
      </c>
    </row>
    <row r="25" spans="5:6" ht="20.100000000000001" customHeight="1">
      <c r="E25" s="48" t="s">
        <v>691</v>
      </c>
      <c r="F25" s="184" t="s">
        <v>768</v>
      </c>
    </row>
    <row r="26" spans="5:6"/>
  </sheetData>
  <sheetProtection algorithmName="SHA-512" hashValue="5sSP8dn/VmTZFQRn7SI3NOJKmfSFkjSID1lVECdViRAv6smEg+zH/0MyAdGv8lCr8Qm+Bcp2S6xQwzhK9Q+W3Q==" saltValue="cLtZEIGD8DZBl8fCM/kPkg==" spinCount="100000" sheet="1" objects="1" scenarios="1"/>
  <mergeCells count="1">
    <mergeCell ref="E9:F9"/>
  </mergeCells>
  <dataValidations count="1">
    <dataValidation allowBlank="1" showInputMessage="1" showErrorMessage="1" prompt="Please enter date in _x000a_mm-dd-yyyy format" sqref="F10 F16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E1:H87"/>
  <sheetViews>
    <sheetView showGridLines="0" topLeftCell="C8" workbookViewId="0">
      <selection activeCell="G13" sqref="G13"/>
    </sheetView>
  </sheetViews>
  <sheetFormatPr defaultColWidth="0.140625" defaultRowHeight="15" zeroHeight="1"/>
  <cols>
    <col min="1" max="2" width="0" hidden="1" customWidth="1"/>
    <col min="3" max="4" width="1.7109375" customWidth="1"/>
    <col min="5" max="5" width="9.140625" customWidth="1"/>
    <col min="6" max="6" width="59.140625" customWidth="1"/>
    <col min="7" max="8" width="33.42578125" customWidth="1"/>
    <col min="9" max="10" width="8.7109375" customWidth="1"/>
    <col min="11" max="21" width="9.140625" customWidth="1"/>
  </cols>
  <sheetData>
    <row r="1" spans="5:8" hidden="1">
      <c r="F1">
        <v>3</v>
      </c>
    </row>
    <row r="2" spans="5:8" hidden="1"/>
    <row r="3" spans="5:8" hidden="1"/>
    <row r="4" spans="5:8" hidden="1"/>
    <row r="5" spans="5:8" hidden="1"/>
    <row r="6" spans="5:8" hidden="1"/>
    <row r="7" spans="5:8" hidden="1"/>
    <row r="8" spans="5:8" ht="36.950000000000003" customHeight="1"/>
    <row r="9" spans="5:8" ht="33" customHeight="1">
      <c r="E9" s="195" t="s">
        <v>693</v>
      </c>
      <c r="F9" s="196"/>
      <c r="G9" s="197"/>
    </row>
    <row r="10" spans="5:8" s="171" customFormat="1" ht="38.1" customHeight="1">
      <c r="E10" s="8" t="s">
        <v>720</v>
      </c>
      <c r="F10" s="173" t="s">
        <v>3</v>
      </c>
      <c r="G10" s="172"/>
      <c r="H10" s="177" t="s">
        <v>772</v>
      </c>
    </row>
    <row r="11" spans="5:8" ht="36" customHeight="1">
      <c r="E11" s="46">
        <v>1</v>
      </c>
      <c r="F11" s="175" t="s">
        <v>721</v>
      </c>
      <c r="G11" s="185" t="s">
        <v>773</v>
      </c>
      <c r="H11" s="185" t="s">
        <v>783</v>
      </c>
    </row>
    <row r="12" spans="5:8" ht="20.100000000000001" customHeight="1">
      <c r="E12" s="170">
        <v>2</v>
      </c>
      <c r="F12" s="174" t="s">
        <v>694</v>
      </c>
      <c r="G12" s="186">
        <v>226</v>
      </c>
      <c r="H12" s="186">
        <v>472</v>
      </c>
    </row>
    <row r="13" spans="5:8" ht="31.5" customHeight="1">
      <c r="E13" s="170">
        <v>3</v>
      </c>
      <c r="F13" s="174" t="s">
        <v>695</v>
      </c>
      <c r="G13" s="186">
        <v>176</v>
      </c>
      <c r="H13" s="186" t="s">
        <v>768</v>
      </c>
    </row>
    <row r="14" spans="5:8" ht="33" customHeight="1">
      <c r="E14" s="170">
        <v>4</v>
      </c>
      <c r="F14" s="174" t="s">
        <v>696</v>
      </c>
      <c r="G14" s="186">
        <v>14</v>
      </c>
      <c r="H14" s="186" t="s">
        <v>768</v>
      </c>
    </row>
    <row r="15" spans="5:8" ht="33" customHeight="1">
      <c r="E15" s="170">
        <v>5</v>
      </c>
      <c r="F15" s="174" t="s">
        <v>697</v>
      </c>
      <c r="G15" s="186" t="s">
        <v>784</v>
      </c>
      <c r="H15" s="186" t="s">
        <v>768</v>
      </c>
    </row>
    <row r="16" spans="5:8" ht="20.100000000000001" customHeight="1">
      <c r="E16" s="170">
        <v>6</v>
      </c>
      <c r="F16" s="174" t="s">
        <v>698</v>
      </c>
      <c r="G16" s="186" t="s">
        <v>768</v>
      </c>
      <c r="H16" s="186" t="s">
        <v>774</v>
      </c>
    </row>
    <row r="17" spans="5:8" ht="20.100000000000001" customHeight="1">
      <c r="E17" s="170">
        <v>7</v>
      </c>
      <c r="F17" s="174" t="s">
        <v>699</v>
      </c>
      <c r="G17" s="186" t="s">
        <v>785</v>
      </c>
      <c r="H17" s="186" t="s">
        <v>786</v>
      </c>
    </row>
    <row r="18" spans="5:8" ht="20.100000000000001" customHeight="1">
      <c r="E18" s="170">
        <v>8</v>
      </c>
      <c r="F18" s="174" t="s">
        <v>700</v>
      </c>
      <c r="G18" s="187">
        <v>5025000</v>
      </c>
      <c r="H18" s="187">
        <v>0</v>
      </c>
    </row>
    <row r="19" spans="5:8" ht="20.100000000000001" customHeight="1">
      <c r="E19" s="170">
        <v>9</v>
      </c>
      <c r="F19" s="174" t="s">
        <v>701</v>
      </c>
      <c r="G19" s="187">
        <v>0</v>
      </c>
      <c r="H19" s="187">
        <v>0</v>
      </c>
    </row>
    <row r="20" spans="5:8" ht="20.100000000000001" customHeight="1">
      <c r="E20" s="170">
        <v>10</v>
      </c>
      <c r="F20" s="174" t="s">
        <v>702</v>
      </c>
      <c r="G20" s="186" t="s">
        <v>781</v>
      </c>
      <c r="H20" s="186" t="s">
        <v>781</v>
      </c>
    </row>
    <row r="21" spans="5:8" ht="20.100000000000001" customHeight="1">
      <c r="E21" s="170">
        <v>11</v>
      </c>
      <c r="F21" s="174" t="s">
        <v>703</v>
      </c>
      <c r="G21" s="186" t="s">
        <v>787</v>
      </c>
      <c r="H21" s="186" t="s">
        <v>768</v>
      </c>
    </row>
    <row r="22" spans="5:8" ht="20.100000000000001" customHeight="1">
      <c r="E22" s="170">
        <v>12</v>
      </c>
      <c r="F22" s="174" t="s">
        <v>704</v>
      </c>
      <c r="G22" s="186" t="s">
        <v>775</v>
      </c>
      <c r="H22" s="186" t="s">
        <v>768</v>
      </c>
    </row>
    <row r="23" spans="5:8" ht="20.100000000000001" customHeight="1">
      <c r="E23" s="170">
        <v>13</v>
      </c>
      <c r="F23" s="174" t="s">
        <v>705</v>
      </c>
      <c r="G23" s="186" t="s">
        <v>776</v>
      </c>
      <c r="H23" s="186" t="s">
        <v>768</v>
      </c>
    </row>
    <row r="24" spans="5:8" ht="33" customHeight="1">
      <c r="E24" s="170">
        <v>14</v>
      </c>
      <c r="F24" s="174" t="s">
        <v>706</v>
      </c>
      <c r="G24" s="186" t="s">
        <v>788</v>
      </c>
      <c r="H24" s="186" t="s">
        <v>768</v>
      </c>
    </row>
    <row r="25" spans="5:8" ht="20.100000000000001" customHeight="1">
      <c r="E25" s="170">
        <v>15</v>
      </c>
      <c r="F25" s="174" t="s">
        <v>707</v>
      </c>
      <c r="G25" s="186" t="s">
        <v>777</v>
      </c>
      <c r="H25" s="186" t="s">
        <v>768</v>
      </c>
    </row>
    <row r="26" spans="5:8" ht="20.100000000000001" customHeight="1">
      <c r="E26" s="170">
        <v>16</v>
      </c>
      <c r="F26" s="174" t="s">
        <v>708</v>
      </c>
      <c r="G26" s="186" t="s">
        <v>778</v>
      </c>
      <c r="H26" s="186" t="s">
        <v>768</v>
      </c>
    </row>
    <row r="27" spans="5:8" ht="20.100000000000001" customHeight="1">
      <c r="E27" s="170">
        <v>17</v>
      </c>
      <c r="F27" s="174" t="s">
        <v>709</v>
      </c>
      <c r="G27" s="186" t="s">
        <v>789</v>
      </c>
      <c r="H27" s="186" t="s">
        <v>768</v>
      </c>
    </row>
    <row r="28" spans="5:8" ht="20.100000000000001" customHeight="1">
      <c r="E28" s="170">
        <v>18</v>
      </c>
      <c r="F28" s="174" t="s">
        <v>710</v>
      </c>
      <c r="G28" s="186" t="s">
        <v>771</v>
      </c>
      <c r="H28" s="186" t="s">
        <v>768</v>
      </c>
    </row>
    <row r="29" spans="5:8" ht="20.100000000000001" customHeight="1">
      <c r="E29" s="170">
        <v>19</v>
      </c>
      <c r="F29" s="174" t="s">
        <v>711</v>
      </c>
      <c r="G29" s="186" t="s">
        <v>780</v>
      </c>
      <c r="H29" s="186" t="s">
        <v>768</v>
      </c>
    </row>
    <row r="30" spans="5:8" ht="20.100000000000001" customHeight="1">
      <c r="E30" s="170">
        <v>20</v>
      </c>
      <c r="F30" s="174" t="s">
        <v>712</v>
      </c>
      <c r="G30" s="187">
        <v>160834858</v>
      </c>
      <c r="H30" s="187">
        <v>0</v>
      </c>
    </row>
    <row r="31" spans="5:8" ht="20.100000000000001" customHeight="1">
      <c r="E31" s="170">
        <v>21</v>
      </c>
      <c r="F31" s="174" t="s">
        <v>713</v>
      </c>
      <c r="G31" s="187">
        <v>121233244</v>
      </c>
      <c r="H31" s="187">
        <v>0</v>
      </c>
    </row>
    <row r="32" spans="5:8" ht="20.100000000000001" customHeight="1">
      <c r="E32" s="170">
        <v>22</v>
      </c>
      <c r="F32" s="174" t="s">
        <v>714</v>
      </c>
      <c r="G32" s="187">
        <v>39601614</v>
      </c>
      <c r="H32" s="187">
        <v>0</v>
      </c>
    </row>
    <row r="33" spans="5:8" ht="20.100000000000001" customHeight="1">
      <c r="E33" s="170">
        <v>23</v>
      </c>
      <c r="F33" s="174" t="s">
        <v>715</v>
      </c>
      <c r="G33" s="186">
        <v>75.377468235150857</v>
      </c>
      <c r="H33" s="186" t="s">
        <v>768</v>
      </c>
    </row>
    <row r="34" spans="5:8" ht="20.100000000000001" customHeight="1">
      <c r="E34" s="170">
        <v>24</v>
      </c>
      <c r="F34" s="174" t="s">
        <v>716</v>
      </c>
      <c r="G34" s="187">
        <v>25290228</v>
      </c>
      <c r="H34" s="187">
        <v>0</v>
      </c>
    </row>
    <row r="35" spans="5:8" ht="20.100000000000001" customHeight="1">
      <c r="E35" s="170">
        <v>25</v>
      </c>
      <c r="F35" s="174" t="s">
        <v>717</v>
      </c>
      <c r="G35" s="187">
        <v>56726889</v>
      </c>
      <c r="H35" s="187">
        <v>0</v>
      </c>
    </row>
    <row r="36" spans="5:8" ht="20.100000000000001" customHeight="1">
      <c r="E36" s="170">
        <v>26</v>
      </c>
      <c r="F36" s="174" t="s">
        <v>718</v>
      </c>
      <c r="G36" s="187">
        <v>11559332</v>
      </c>
      <c r="H36" s="187">
        <v>0</v>
      </c>
    </row>
    <row r="37" spans="5:8" ht="20.100000000000001" customHeight="1">
      <c r="E37" s="48">
        <v>27</v>
      </c>
      <c r="F37" s="176" t="s">
        <v>719</v>
      </c>
      <c r="G37" s="188">
        <v>1635327</v>
      </c>
      <c r="H37" s="188">
        <v>0</v>
      </c>
    </row>
    <row r="38" spans="5:8"/>
    <row r="39" spans="5:8" hidden="1"/>
    <row r="40" spans="5:8" hidden="1"/>
    <row r="41" spans="5:8" hidden="1"/>
    <row r="42" spans="5:8" hidden="1"/>
    <row r="43" spans="5:8" hidden="1"/>
    <row r="44" spans="5:8" hidden="1"/>
    <row r="45" spans="5:8" hidden="1"/>
    <row r="46" spans="5:8" hidden="1"/>
    <row r="47" spans="5:8" hidden="1"/>
    <row r="48" spans="5:8" hidden="1"/>
    <row r="49" spans="6:7" hidden="1"/>
    <row r="50" spans="6:7" hidden="1"/>
    <row r="51" spans="6:7" hidden="1"/>
    <row r="52" spans="6:7" hidden="1"/>
    <row r="53" spans="6:7" hidden="1"/>
    <row r="54" spans="6:7" hidden="1"/>
    <row r="55" spans="6:7" hidden="1"/>
    <row r="56" spans="6:7" hidden="1"/>
    <row r="57" spans="6:7" hidden="1"/>
    <row r="58" spans="6:7" hidden="1"/>
    <row r="59" spans="6:7" hidden="1"/>
    <row r="60" spans="6:7" ht="33" hidden="1" customHeight="1">
      <c r="G60" s="177" t="s">
        <v>772</v>
      </c>
    </row>
    <row r="61" spans="6:7" ht="36" hidden="1" customHeight="1">
      <c r="F61" t="s">
        <v>721</v>
      </c>
      <c r="G61" s="179"/>
    </row>
    <row r="62" spans="6:7" hidden="1">
      <c r="F62" t="s">
        <v>694</v>
      </c>
      <c r="G62" s="180"/>
    </row>
    <row r="63" spans="6:7" hidden="1">
      <c r="F63" t="s">
        <v>695</v>
      </c>
      <c r="G63" s="180"/>
    </row>
    <row r="64" spans="6:7" hidden="1">
      <c r="F64" t="s">
        <v>696</v>
      </c>
      <c r="G64" s="180"/>
    </row>
    <row r="65" spans="6:7" hidden="1">
      <c r="F65" t="s">
        <v>697</v>
      </c>
      <c r="G65" s="180"/>
    </row>
    <row r="66" spans="6:7" hidden="1">
      <c r="F66" t="s">
        <v>698</v>
      </c>
      <c r="G66" s="180"/>
    </row>
    <row r="67" spans="6:7" hidden="1">
      <c r="F67" t="s">
        <v>699</v>
      </c>
      <c r="G67" s="180"/>
    </row>
    <row r="68" spans="6:7" hidden="1">
      <c r="F68" t="s">
        <v>700</v>
      </c>
      <c r="G68" s="181"/>
    </row>
    <row r="69" spans="6:7" hidden="1">
      <c r="F69" t="s">
        <v>701</v>
      </c>
      <c r="G69" s="181"/>
    </row>
    <row r="70" spans="6:7" hidden="1">
      <c r="F70" t="s">
        <v>702</v>
      </c>
      <c r="G70" s="180"/>
    </row>
    <row r="71" spans="6:7" hidden="1">
      <c r="F71" t="s">
        <v>703</v>
      </c>
      <c r="G71" s="180"/>
    </row>
    <row r="72" spans="6:7" hidden="1">
      <c r="F72" t="s">
        <v>704</v>
      </c>
      <c r="G72" s="180"/>
    </row>
    <row r="73" spans="6:7" hidden="1">
      <c r="F73" t="s">
        <v>705</v>
      </c>
      <c r="G73" s="180"/>
    </row>
    <row r="74" spans="6:7" hidden="1">
      <c r="F74" t="s">
        <v>706</v>
      </c>
      <c r="G74" s="180"/>
    </row>
    <row r="75" spans="6:7" hidden="1">
      <c r="F75" t="s">
        <v>707</v>
      </c>
      <c r="G75" s="180"/>
    </row>
    <row r="76" spans="6:7" hidden="1">
      <c r="F76" t="s">
        <v>708</v>
      </c>
      <c r="G76" s="180"/>
    </row>
    <row r="77" spans="6:7" hidden="1">
      <c r="F77" t="s">
        <v>709</v>
      </c>
      <c r="G77" s="180"/>
    </row>
    <row r="78" spans="6:7" hidden="1">
      <c r="F78" t="s">
        <v>710</v>
      </c>
      <c r="G78" s="180"/>
    </row>
    <row r="79" spans="6:7" hidden="1">
      <c r="F79" t="s">
        <v>711</v>
      </c>
      <c r="G79" s="180"/>
    </row>
    <row r="80" spans="6:7" hidden="1">
      <c r="F80" t="s">
        <v>712</v>
      </c>
      <c r="G80" s="181"/>
    </row>
    <row r="81" spans="6:7" hidden="1">
      <c r="F81" t="s">
        <v>713</v>
      </c>
      <c r="G81" s="181"/>
    </row>
    <row r="82" spans="6:7" hidden="1">
      <c r="F82" t="s">
        <v>714</v>
      </c>
      <c r="G82" s="181"/>
    </row>
    <row r="83" spans="6:7" hidden="1">
      <c r="F83" t="s">
        <v>715</v>
      </c>
      <c r="G83" s="180"/>
    </row>
    <row r="84" spans="6:7" hidden="1">
      <c r="F84" t="s">
        <v>716</v>
      </c>
      <c r="G84" s="181"/>
    </row>
    <row r="85" spans="6:7" hidden="1">
      <c r="F85" t="s">
        <v>717</v>
      </c>
      <c r="G85" s="181"/>
    </row>
    <row r="86" spans="6:7" hidden="1">
      <c r="F86" t="s">
        <v>718</v>
      </c>
      <c r="G86" s="181"/>
    </row>
    <row r="87" spans="6:7" hidden="1">
      <c r="F87" t="s">
        <v>719</v>
      </c>
      <c r="G87" s="182"/>
    </row>
  </sheetData>
  <sheetProtection algorithmName="SHA-512" hashValue="NcrQvaGP6a049NnkxFVLOARPl7XdALIXgSIZjkfvNXpPUqFDiAzxYs3hOk3ndh/nN4afQkrQpqK4rTkvCKJUgQ==" saltValue="9/Jj45nwmehHBO6A1Tl9hg==" spinCount="100000" sheet="1" objects="1" scenarios="1"/>
  <mergeCells count="1">
    <mergeCell ref="E9:G9"/>
  </mergeCells>
  <dataValidations count="1">
    <dataValidation allowBlank="1" showInputMessage="1" showErrorMessage="1" prompt="Please enter date in _x000a_mm-dd-yyyy format" sqref="G70 G20:H20"/>
  </dataValidations>
  <hyperlinks>
    <hyperlink ref="G60" location="'Pension Template V1'!G9" display="Delete employee details"/>
    <hyperlink ref="H10" location="'Pension Template V1'!G9" display="Delete employee details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374"/>
  <sheetViews>
    <sheetView topLeftCell="A343" workbookViewId="0">
      <selection activeCell="B358" sqref="B358"/>
    </sheetView>
  </sheetViews>
  <sheetFormatPr defaultRowHeight="15"/>
  <cols>
    <col min="1" max="1" width="60.140625" customWidth="1"/>
    <col min="2" max="2" width="41.5703125" customWidth="1"/>
    <col min="3" max="3" width="29.140625" customWidth="1"/>
    <col min="4" max="5" width="17.7109375" customWidth="1"/>
  </cols>
  <sheetData>
    <row r="1" spans="1:5" ht="21" customHeight="1">
      <c r="A1" s="51" t="s">
        <v>265</v>
      </c>
      <c r="B1" s="51" t="s">
        <v>255</v>
      </c>
      <c r="C1" s="51" t="s">
        <v>256</v>
      </c>
      <c r="D1" s="51" t="s">
        <v>257</v>
      </c>
      <c r="E1" s="51" t="s">
        <v>266</v>
      </c>
    </row>
    <row r="2" spans="1:5" ht="21" customHeight="1">
      <c r="A2" s="242" t="s">
        <v>411</v>
      </c>
      <c r="B2" s="242"/>
      <c r="C2" s="242"/>
      <c r="D2" s="242"/>
      <c r="E2" s="242"/>
    </row>
    <row r="3" spans="1:5">
      <c r="A3" t="s">
        <v>457</v>
      </c>
      <c r="B3" t="s">
        <v>458</v>
      </c>
      <c r="C3" t="s">
        <v>261</v>
      </c>
      <c r="D3" t="s">
        <v>258</v>
      </c>
      <c r="E3" t="s">
        <v>517</v>
      </c>
    </row>
    <row r="4" spans="1:5">
      <c r="A4" t="s">
        <v>259</v>
      </c>
      <c r="B4" t="s">
        <v>244</v>
      </c>
      <c r="C4" t="s">
        <v>262</v>
      </c>
      <c r="D4" t="s">
        <v>348</v>
      </c>
      <c r="E4" t="s">
        <v>263</v>
      </c>
    </row>
    <row r="5" spans="1:5">
      <c r="A5" t="s">
        <v>260</v>
      </c>
      <c r="B5" t="s">
        <v>247</v>
      </c>
      <c r="C5" t="s">
        <v>262</v>
      </c>
      <c r="D5" t="s">
        <v>348</v>
      </c>
      <c r="E5" t="s">
        <v>264</v>
      </c>
    </row>
    <row r="6" spans="1:5" ht="18.75">
      <c r="A6" s="50" t="s">
        <v>456</v>
      </c>
      <c r="B6" s="50"/>
      <c r="C6" s="50"/>
      <c r="D6" s="50"/>
      <c r="E6" s="50"/>
    </row>
    <row r="7" spans="1:5">
      <c r="A7" t="s">
        <v>459</v>
      </c>
      <c r="B7" t="s">
        <v>5</v>
      </c>
      <c r="C7" t="s">
        <v>322</v>
      </c>
      <c r="D7" t="s">
        <v>348</v>
      </c>
    </row>
    <row r="8" spans="1:5">
      <c r="A8" t="s">
        <v>7</v>
      </c>
      <c r="B8" t="s">
        <v>7</v>
      </c>
      <c r="C8" t="s">
        <v>322</v>
      </c>
      <c r="D8" t="s">
        <v>348</v>
      </c>
    </row>
    <row r="9" spans="1:5">
      <c r="A9" t="s">
        <v>8</v>
      </c>
      <c r="B9" t="s">
        <v>8</v>
      </c>
      <c r="C9" t="s">
        <v>322</v>
      </c>
      <c r="D9" t="s">
        <v>348</v>
      </c>
    </row>
    <row r="10" spans="1:5">
      <c r="A10" t="s">
        <v>268</v>
      </c>
      <c r="B10" t="s">
        <v>9</v>
      </c>
      <c r="C10" t="s">
        <v>322</v>
      </c>
      <c r="D10" t="s">
        <v>348</v>
      </c>
    </row>
    <row r="11" spans="1:5">
      <c r="A11" t="s">
        <v>10</v>
      </c>
      <c r="B11" t="s">
        <v>10</v>
      </c>
      <c r="C11" t="s">
        <v>322</v>
      </c>
      <c r="D11" t="s">
        <v>348</v>
      </c>
    </row>
    <row r="12" spans="1:5">
      <c r="A12" t="s">
        <v>6</v>
      </c>
      <c r="B12" t="s">
        <v>11</v>
      </c>
      <c r="C12" t="s">
        <v>322</v>
      </c>
      <c r="D12" t="s">
        <v>348</v>
      </c>
    </row>
    <row r="13" spans="1:5">
      <c r="A13" t="s">
        <v>598</v>
      </c>
      <c r="B13" s="160" t="s">
        <v>525</v>
      </c>
      <c r="C13" t="s">
        <v>322</v>
      </c>
      <c r="D13" t="s">
        <v>348</v>
      </c>
    </row>
    <row r="14" spans="1:5">
      <c r="A14" t="s">
        <v>599</v>
      </c>
      <c r="B14" s="160" t="s">
        <v>526</v>
      </c>
      <c r="C14" t="s">
        <v>322</v>
      </c>
      <c r="D14" t="s">
        <v>348</v>
      </c>
    </row>
    <row r="15" spans="1:5">
      <c r="A15" t="s">
        <v>527</v>
      </c>
      <c r="B15" s="160" t="s">
        <v>527</v>
      </c>
      <c r="C15" t="s">
        <v>322</v>
      </c>
      <c r="D15" t="s">
        <v>348</v>
      </c>
    </row>
    <row r="16" spans="1:5">
      <c r="A16" t="s">
        <v>528</v>
      </c>
      <c r="B16" s="160" t="s">
        <v>528</v>
      </c>
      <c r="C16" t="s">
        <v>322</v>
      </c>
      <c r="D16" t="s">
        <v>348</v>
      </c>
    </row>
    <row r="17" spans="1:4">
      <c r="A17" t="s">
        <v>269</v>
      </c>
      <c r="B17" t="s">
        <v>12</v>
      </c>
      <c r="C17" t="s">
        <v>322</v>
      </c>
      <c r="D17" t="s">
        <v>348</v>
      </c>
    </row>
    <row r="18" spans="1:4">
      <c r="A18" t="s">
        <v>460</v>
      </c>
      <c r="B18" t="s">
        <v>13</v>
      </c>
      <c r="C18" t="s">
        <v>322</v>
      </c>
      <c r="D18" t="s">
        <v>348</v>
      </c>
    </row>
    <row r="19" spans="1:4">
      <c r="A19" t="s">
        <v>471</v>
      </c>
      <c r="B19" t="s">
        <v>14</v>
      </c>
      <c r="C19" t="s">
        <v>322</v>
      </c>
      <c r="D19" t="s">
        <v>348</v>
      </c>
    </row>
    <row r="20" spans="1:4">
      <c r="A20" t="s">
        <v>272</v>
      </c>
      <c r="B20" t="s">
        <v>15</v>
      </c>
      <c r="C20" t="s">
        <v>322</v>
      </c>
      <c r="D20" t="s">
        <v>348</v>
      </c>
    </row>
    <row r="21" spans="1:4">
      <c r="A21" t="s">
        <v>17</v>
      </c>
      <c r="B21" t="s">
        <v>17</v>
      </c>
      <c r="C21" t="s">
        <v>322</v>
      </c>
      <c r="D21" t="s">
        <v>348</v>
      </c>
    </row>
    <row r="22" spans="1:4">
      <c r="A22" t="s">
        <v>273</v>
      </c>
      <c r="B22" t="s">
        <v>18</v>
      </c>
      <c r="C22" t="s">
        <v>322</v>
      </c>
      <c r="D22" t="s">
        <v>348</v>
      </c>
    </row>
    <row r="23" spans="1:4">
      <c r="A23" t="s">
        <v>461</v>
      </c>
      <c r="B23" t="s">
        <v>19</v>
      </c>
      <c r="C23" t="s">
        <v>322</v>
      </c>
      <c r="D23" t="s">
        <v>348</v>
      </c>
    </row>
    <row r="24" spans="1:4">
      <c r="A24" t="s">
        <v>462</v>
      </c>
      <c r="B24" t="s">
        <v>20</v>
      </c>
      <c r="C24" t="s">
        <v>322</v>
      </c>
      <c r="D24" t="s">
        <v>348</v>
      </c>
    </row>
    <row r="25" spans="1:4">
      <c r="A25" t="s">
        <v>463</v>
      </c>
      <c r="B25" t="s">
        <v>22</v>
      </c>
      <c r="C25" t="s">
        <v>322</v>
      </c>
      <c r="D25" t="s">
        <v>348</v>
      </c>
    </row>
    <row r="26" spans="1:4">
      <c r="A26" t="s">
        <v>464</v>
      </c>
      <c r="B26" t="s">
        <v>21</v>
      </c>
      <c r="C26" t="s">
        <v>322</v>
      </c>
      <c r="D26" t="s">
        <v>348</v>
      </c>
    </row>
    <row r="27" spans="1:4">
      <c r="A27" t="s">
        <v>277</v>
      </c>
      <c r="B27" t="s">
        <v>475</v>
      </c>
      <c r="C27" t="s">
        <v>322</v>
      </c>
      <c r="D27" t="s">
        <v>348</v>
      </c>
    </row>
    <row r="28" spans="1:4">
      <c r="A28" t="s">
        <v>278</v>
      </c>
      <c r="B28" t="s">
        <v>24</v>
      </c>
      <c r="C28" t="s">
        <v>322</v>
      </c>
      <c r="D28" t="s">
        <v>348</v>
      </c>
    </row>
    <row r="29" spans="1:4">
      <c r="A29" t="s">
        <v>600</v>
      </c>
      <c r="B29" s="160" t="s">
        <v>529</v>
      </c>
      <c r="C29" t="s">
        <v>322</v>
      </c>
      <c r="D29" t="s">
        <v>348</v>
      </c>
    </row>
    <row r="30" spans="1:4">
      <c r="A30" t="s">
        <v>279</v>
      </c>
      <c r="B30" t="s">
        <v>25</v>
      </c>
      <c r="C30" t="s">
        <v>322</v>
      </c>
      <c r="D30" t="s">
        <v>348</v>
      </c>
    </row>
    <row r="31" spans="1:4">
      <c r="A31" t="s">
        <v>280</v>
      </c>
      <c r="B31" t="s">
        <v>27</v>
      </c>
      <c r="C31" t="s">
        <v>322</v>
      </c>
      <c r="D31" t="s">
        <v>348</v>
      </c>
    </row>
    <row r="32" spans="1:4">
      <c r="A32" t="s">
        <v>465</v>
      </c>
      <c r="B32" t="s">
        <v>28</v>
      </c>
      <c r="C32" t="s">
        <v>322</v>
      </c>
      <c r="D32" t="s">
        <v>348</v>
      </c>
    </row>
    <row r="33" spans="1:4">
      <c r="A33" t="s">
        <v>282</v>
      </c>
      <c r="B33" t="s">
        <v>29</v>
      </c>
      <c r="C33" t="s">
        <v>322</v>
      </c>
      <c r="D33" t="s">
        <v>348</v>
      </c>
    </row>
    <row r="34" spans="1:4">
      <c r="A34" t="s">
        <v>283</v>
      </c>
      <c r="B34" t="s">
        <v>30</v>
      </c>
      <c r="C34" t="s">
        <v>322</v>
      </c>
      <c r="D34" t="s">
        <v>348</v>
      </c>
    </row>
    <row r="35" spans="1:4">
      <c r="A35" t="s">
        <v>284</v>
      </c>
      <c r="B35" t="s">
        <v>31</v>
      </c>
      <c r="C35" t="s">
        <v>322</v>
      </c>
      <c r="D35" t="s">
        <v>348</v>
      </c>
    </row>
    <row r="36" spans="1:4">
      <c r="A36" t="s">
        <v>285</v>
      </c>
      <c r="B36" t="s">
        <v>32</v>
      </c>
      <c r="C36" t="s">
        <v>322</v>
      </c>
      <c r="D36" t="s">
        <v>348</v>
      </c>
    </row>
    <row r="37" spans="1:4">
      <c r="A37" t="s">
        <v>286</v>
      </c>
      <c r="B37" t="s">
        <v>33</v>
      </c>
      <c r="C37" t="s">
        <v>322</v>
      </c>
      <c r="D37" t="s">
        <v>348</v>
      </c>
    </row>
    <row r="38" spans="1:4">
      <c r="A38" t="s">
        <v>466</v>
      </c>
      <c r="B38" t="s">
        <v>34</v>
      </c>
      <c r="C38" t="s">
        <v>322</v>
      </c>
      <c r="D38" t="s">
        <v>348</v>
      </c>
    </row>
    <row r="39" spans="1:4">
      <c r="A39" t="s">
        <v>467</v>
      </c>
      <c r="B39" t="s">
        <v>36</v>
      </c>
      <c r="C39" t="s">
        <v>322</v>
      </c>
      <c r="D39" t="s">
        <v>348</v>
      </c>
    </row>
    <row r="40" spans="1:4">
      <c r="A40" t="s">
        <v>288</v>
      </c>
      <c r="B40" t="s">
        <v>38</v>
      </c>
      <c r="C40" t="s">
        <v>322</v>
      </c>
      <c r="D40" t="s">
        <v>348</v>
      </c>
    </row>
    <row r="41" spans="1:4">
      <c r="A41" t="s">
        <v>289</v>
      </c>
      <c r="B41" t="s">
        <v>39</v>
      </c>
      <c r="C41" t="s">
        <v>322</v>
      </c>
      <c r="D41" t="s">
        <v>348</v>
      </c>
    </row>
    <row r="42" spans="1:4">
      <c r="A42" t="s">
        <v>290</v>
      </c>
      <c r="B42" t="s">
        <v>40</v>
      </c>
      <c r="C42" t="s">
        <v>322</v>
      </c>
      <c r="D42" t="s">
        <v>348</v>
      </c>
    </row>
    <row r="43" spans="1:4">
      <c r="A43" t="s">
        <v>468</v>
      </c>
      <c r="B43" t="s">
        <v>42</v>
      </c>
      <c r="C43" t="s">
        <v>322</v>
      </c>
      <c r="D43" t="s">
        <v>348</v>
      </c>
    </row>
    <row r="44" spans="1:4">
      <c r="A44" t="s">
        <v>291</v>
      </c>
      <c r="B44" t="s">
        <v>229</v>
      </c>
      <c r="C44" t="s">
        <v>322</v>
      </c>
      <c r="D44" t="s">
        <v>348</v>
      </c>
    </row>
    <row r="45" spans="1:4">
      <c r="A45" t="s">
        <v>292</v>
      </c>
      <c r="B45" t="s">
        <v>44</v>
      </c>
      <c r="C45" t="s">
        <v>322</v>
      </c>
      <c r="D45" t="s">
        <v>348</v>
      </c>
    </row>
    <row r="46" spans="1:4">
      <c r="A46" t="s">
        <v>293</v>
      </c>
      <c r="B46" t="s">
        <v>45</v>
      </c>
      <c r="C46" t="s">
        <v>322</v>
      </c>
      <c r="D46" t="s">
        <v>348</v>
      </c>
    </row>
    <row r="47" spans="1:4">
      <c r="A47" t="s">
        <v>294</v>
      </c>
      <c r="B47" t="s">
        <v>46</v>
      </c>
      <c r="C47" t="s">
        <v>322</v>
      </c>
      <c r="D47" t="s">
        <v>348</v>
      </c>
    </row>
    <row r="48" spans="1:4">
      <c r="A48" t="s">
        <v>295</v>
      </c>
      <c r="B48" t="s">
        <v>476</v>
      </c>
      <c r="C48" t="s">
        <v>322</v>
      </c>
      <c r="D48" t="s">
        <v>348</v>
      </c>
    </row>
    <row r="49" spans="1:5">
      <c r="A49" s="160" t="s">
        <v>315</v>
      </c>
      <c r="B49" s="160" t="s">
        <v>93</v>
      </c>
      <c r="C49" t="s">
        <v>322</v>
      </c>
      <c r="D49" t="s">
        <v>258</v>
      </c>
    </row>
    <row r="50" spans="1:5">
      <c r="A50" s="160" t="s">
        <v>601</v>
      </c>
      <c r="B50" s="160" t="s">
        <v>530</v>
      </c>
      <c r="C50" t="s">
        <v>322</v>
      </c>
      <c r="D50" t="s">
        <v>348</v>
      </c>
    </row>
    <row r="51" spans="1:5">
      <c r="A51" s="160" t="s">
        <v>602</v>
      </c>
      <c r="B51" s="160" t="s">
        <v>58</v>
      </c>
      <c r="C51" t="s">
        <v>322</v>
      </c>
      <c r="D51" t="s">
        <v>348</v>
      </c>
    </row>
    <row r="52" spans="1:5">
      <c r="A52" t="s">
        <v>469</v>
      </c>
      <c r="B52" t="s">
        <v>47</v>
      </c>
      <c r="C52" t="s">
        <v>322</v>
      </c>
      <c r="D52" t="s">
        <v>348</v>
      </c>
    </row>
    <row r="53" spans="1:5">
      <c r="A53" t="s">
        <v>470</v>
      </c>
      <c r="B53" t="s">
        <v>48</v>
      </c>
      <c r="C53" t="s">
        <v>322</v>
      </c>
      <c r="D53" t="s">
        <v>348</v>
      </c>
    </row>
    <row r="54" spans="1:5">
      <c r="A54" t="s">
        <v>296</v>
      </c>
      <c r="B54" t="s">
        <v>49</v>
      </c>
      <c r="C54" t="s">
        <v>322</v>
      </c>
      <c r="D54" t="s">
        <v>348</v>
      </c>
    </row>
    <row r="55" spans="1:5" ht="18.75">
      <c r="A55" s="50" t="s">
        <v>237</v>
      </c>
      <c r="B55" s="50"/>
      <c r="C55" s="50"/>
      <c r="D55" s="50"/>
      <c r="E55" s="50"/>
    </row>
    <row r="56" spans="1:5">
      <c r="A56" t="s">
        <v>206</v>
      </c>
      <c r="B56" t="s">
        <v>206</v>
      </c>
      <c r="C56" t="s">
        <v>322</v>
      </c>
      <c r="D56" t="s">
        <v>258</v>
      </c>
    </row>
    <row r="57" spans="1:5">
      <c r="A57" t="s">
        <v>301</v>
      </c>
      <c r="B57" t="s">
        <v>207</v>
      </c>
      <c r="C57" t="s">
        <v>322</v>
      </c>
      <c r="D57" t="s">
        <v>258</v>
      </c>
    </row>
    <row r="58" spans="1:5">
      <c r="A58" t="s">
        <v>445</v>
      </c>
      <c r="B58" t="s">
        <v>208</v>
      </c>
      <c r="C58" t="s">
        <v>322</v>
      </c>
      <c r="D58" t="s">
        <v>258</v>
      </c>
    </row>
    <row r="59" spans="1:5">
      <c r="A59" t="s">
        <v>446</v>
      </c>
      <c r="B59" t="s">
        <v>209</v>
      </c>
      <c r="C59" t="s">
        <v>322</v>
      </c>
      <c r="D59" t="s">
        <v>258</v>
      </c>
    </row>
    <row r="60" spans="1:5">
      <c r="A60" t="s">
        <v>447</v>
      </c>
      <c r="B60" s="160" t="s">
        <v>234</v>
      </c>
      <c r="C60" t="s">
        <v>322</v>
      </c>
      <c r="D60" t="s">
        <v>258</v>
      </c>
    </row>
    <row r="61" spans="1:5">
      <c r="A61" t="s">
        <v>447</v>
      </c>
      <c r="B61" s="160" t="s">
        <v>106</v>
      </c>
      <c r="C61" t="s">
        <v>322</v>
      </c>
      <c r="D61" t="s">
        <v>258</v>
      </c>
    </row>
    <row r="62" spans="1:5">
      <c r="A62" t="s">
        <v>447</v>
      </c>
      <c r="B62" s="160" t="s">
        <v>211</v>
      </c>
      <c r="C62" t="s">
        <v>322</v>
      </c>
      <c r="D62" t="s">
        <v>258</v>
      </c>
    </row>
    <row r="63" spans="1:5">
      <c r="A63" t="s">
        <v>448</v>
      </c>
      <c r="B63" t="s">
        <v>218</v>
      </c>
      <c r="C63" t="s">
        <v>322</v>
      </c>
      <c r="D63" t="s">
        <v>258</v>
      </c>
    </row>
    <row r="64" spans="1:5">
      <c r="A64" t="s">
        <v>449</v>
      </c>
      <c r="B64" t="s">
        <v>219</v>
      </c>
      <c r="C64" t="s">
        <v>322</v>
      </c>
      <c r="D64" t="s">
        <v>258</v>
      </c>
    </row>
    <row r="65" spans="1:5">
      <c r="A65" t="s">
        <v>450</v>
      </c>
      <c r="B65" t="s">
        <v>220</v>
      </c>
      <c r="C65" t="s">
        <v>322</v>
      </c>
      <c r="D65" t="s">
        <v>258</v>
      </c>
    </row>
    <row r="66" spans="1:5">
      <c r="A66" t="s">
        <v>451</v>
      </c>
      <c r="B66" t="s">
        <v>221</v>
      </c>
      <c r="C66" t="s">
        <v>322</v>
      </c>
      <c r="D66" t="s">
        <v>258</v>
      </c>
    </row>
    <row r="67" spans="1:5">
      <c r="A67" t="s">
        <v>452</v>
      </c>
      <c r="B67" t="s">
        <v>222</v>
      </c>
      <c r="C67" t="s">
        <v>322</v>
      </c>
      <c r="D67" t="s">
        <v>258</v>
      </c>
    </row>
    <row r="68" spans="1:5">
      <c r="A68" t="s">
        <v>453</v>
      </c>
      <c r="B68" t="s">
        <v>223</v>
      </c>
      <c r="C68" t="s">
        <v>322</v>
      </c>
      <c r="D68" t="s">
        <v>258</v>
      </c>
    </row>
    <row r="69" spans="1:5">
      <c r="A69" t="s">
        <v>305</v>
      </c>
      <c r="B69" t="s">
        <v>83</v>
      </c>
      <c r="C69" t="s">
        <v>322</v>
      </c>
      <c r="D69" t="s">
        <v>258</v>
      </c>
    </row>
    <row r="70" spans="1:5">
      <c r="A70" t="s">
        <v>224</v>
      </c>
      <c r="B70" t="s">
        <v>224</v>
      </c>
      <c r="C70" t="s">
        <v>322</v>
      </c>
      <c r="D70" t="s">
        <v>258</v>
      </c>
    </row>
    <row r="71" spans="1:5">
      <c r="A71" t="s">
        <v>225</v>
      </c>
      <c r="B71" t="s">
        <v>225</v>
      </c>
      <c r="C71" t="s">
        <v>322</v>
      </c>
      <c r="D71" t="s">
        <v>258</v>
      </c>
    </row>
    <row r="72" spans="1:5">
      <c r="A72" t="s">
        <v>606</v>
      </c>
      <c r="B72" s="160" t="s">
        <v>536</v>
      </c>
      <c r="C72" t="s">
        <v>322</v>
      </c>
      <c r="D72" t="s">
        <v>258</v>
      </c>
    </row>
    <row r="73" spans="1:5">
      <c r="A73" t="s">
        <v>603</v>
      </c>
      <c r="B73" s="160" t="s">
        <v>537</v>
      </c>
      <c r="C73" t="s">
        <v>322</v>
      </c>
      <c r="D73" t="s">
        <v>258</v>
      </c>
    </row>
    <row r="74" spans="1:5">
      <c r="A74" t="s">
        <v>604</v>
      </c>
      <c r="B74" s="160" t="s">
        <v>538</v>
      </c>
      <c r="C74" t="s">
        <v>322</v>
      </c>
      <c r="D74" t="s">
        <v>258</v>
      </c>
    </row>
    <row r="75" spans="1:5">
      <c r="A75" t="s">
        <v>605</v>
      </c>
      <c r="B75" s="160" t="s">
        <v>539</v>
      </c>
      <c r="C75" t="s">
        <v>322</v>
      </c>
      <c r="D75" t="s">
        <v>258</v>
      </c>
    </row>
    <row r="76" spans="1:5">
      <c r="A76" t="s">
        <v>454</v>
      </c>
      <c r="B76" t="s">
        <v>226</v>
      </c>
      <c r="C76" t="s">
        <v>322</v>
      </c>
      <c r="D76" t="s">
        <v>258</v>
      </c>
    </row>
    <row r="77" spans="1:5">
      <c r="A77" t="s">
        <v>455</v>
      </c>
      <c r="B77" t="s">
        <v>165</v>
      </c>
      <c r="C77" t="s">
        <v>322</v>
      </c>
      <c r="D77" t="s">
        <v>258</v>
      </c>
    </row>
    <row r="78" spans="1:5">
      <c r="A78" t="s">
        <v>296</v>
      </c>
      <c r="B78" t="s">
        <v>227</v>
      </c>
      <c r="C78" t="s">
        <v>322</v>
      </c>
      <c r="D78" t="s">
        <v>348</v>
      </c>
    </row>
    <row r="79" spans="1:5">
      <c r="A79" t="s">
        <v>296</v>
      </c>
      <c r="B79" t="s">
        <v>228</v>
      </c>
      <c r="C79" t="s">
        <v>322</v>
      </c>
      <c r="D79" t="s">
        <v>348</v>
      </c>
    </row>
    <row r="80" spans="1:5" ht="18.75">
      <c r="A80" s="50" t="s">
        <v>410</v>
      </c>
      <c r="B80" s="50"/>
      <c r="C80" s="50"/>
      <c r="D80" s="50"/>
      <c r="E80" s="50"/>
    </row>
    <row r="81" spans="1:4">
      <c r="A81" t="s">
        <v>323</v>
      </c>
      <c r="B81" t="s">
        <v>472</v>
      </c>
      <c r="C81" t="s">
        <v>322</v>
      </c>
      <c r="D81" t="s">
        <v>348</v>
      </c>
    </row>
    <row r="82" spans="1:4">
      <c r="A82" t="s">
        <v>324</v>
      </c>
      <c r="B82" t="s">
        <v>474</v>
      </c>
      <c r="C82" t="s">
        <v>322</v>
      </c>
      <c r="D82" t="s">
        <v>348</v>
      </c>
    </row>
    <row r="83" spans="1:4">
      <c r="A83" t="s">
        <v>325</v>
      </c>
      <c r="B83" t="s">
        <v>53</v>
      </c>
      <c r="C83" t="s">
        <v>322</v>
      </c>
      <c r="D83" t="s">
        <v>348</v>
      </c>
    </row>
    <row r="84" spans="1:4">
      <c r="A84" t="s">
        <v>326</v>
      </c>
      <c r="B84" t="s">
        <v>54</v>
      </c>
      <c r="C84" t="s">
        <v>322</v>
      </c>
      <c r="D84" t="s">
        <v>348</v>
      </c>
    </row>
    <row r="85" spans="1:4">
      <c r="A85" t="s">
        <v>327</v>
      </c>
      <c r="B85" t="s">
        <v>55</v>
      </c>
      <c r="C85" t="s">
        <v>322</v>
      </c>
      <c r="D85" t="s">
        <v>348</v>
      </c>
    </row>
    <row r="86" spans="1:4">
      <c r="A86" t="s">
        <v>328</v>
      </c>
      <c r="B86" t="s">
        <v>56</v>
      </c>
      <c r="C86" t="s">
        <v>322</v>
      </c>
      <c r="D86" t="s">
        <v>348</v>
      </c>
    </row>
    <row r="87" spans="1:4">
      <c r="A87" t="s">
        <v>329</v>
      </c>
      <c r="B87" t="s">
        <v>57</v>
      </c>
      <c r="C87" t="s">
        <v>322</v>
      </c>
      <c r="D87" t="s">
        <v>348</v>
      </c>
    </row>
    <row r="88" spans="1:4">
      <c r="A88" t="s">
        <v>58</v>
      </c>
      <c r="B88" t="s">
        <v>663</v>
      </c>
      <c r="C88" t="s">
        <v>322</v>
      </c>
      <c r="D88" t="s">
        <v>348</v>
      </c>
    </row>
    <row r="89" spans="1:4">
      <c r="A89" t="s">
        <v>59</v>
      </c>
      <c r="B89" t="s">
        <v>59</v>
      </c>
      <c r="C89" t="s">
        <v>322</v>
      </c>
      <c r="D89" t="s">
        <v>348</v>
      </c>
    </row>
    <row r="90" spans="1:4">
      <c r="A90" t="s">
        <v>330</v>
      </c>
      <c r="B90" t="s">
        <v>480</v>
      </c>
      <c r="C90" t="s">
        <v>322</v>
      </c>
      <c r="D90" t="s">
        <v>348</v>
      </c>
    </row>
    <row r="91" spans="1:4">
      <c r="A91" t="s">
        <v>331</v>
      </c>
      <c r="B91" t="s">
        <v>60</v>
      </c>
      <c r="C91" t="s">
        <v>322</v>
      </c>
      <c r="D91" t="s">
        <v>348</v>
      </c>
    </row>
    <row r="92" spans="1:4">
      <c r="A92" s="160" t="s">
        <v>540</v>
      </c>
      <c r="B92" s="160" t="s">
        <v>540</v>
      </c>
      <c r="C92" t="s">
        <v>322</v>
      </c>
      <c r="D92" t="s">
        <v>348</v>
      </c>
    </row>
    <row r="93" spans="1:4">
      <c r="A93" s="160" t="s">
        <v>607</v>
      </c>
      <c r="B93" s="160" t="s">
        <v>541</v>
      </c>
      <c r="C93" t="s">
        <v>322</v>
      </c>
      <c r="D93" t="s">
        <v>348</v>
      </c>
    </row>
    <row r="94" spans="1:4">
      <c r="A94" s="160" t="s">
        <v>270</v>
      </c>
      <c r="B94" s="160" t="s">
        <v>664</v>
      </c>
      <c r="C94" t="s">
        <v>322</v>
      </c>
      <c r="D94" t="s">
        <v>348</v>
      </c>
    </row>
    <row r="95" spans="1:4">
      <c r="A95" t="s">
        <v>332</v>
      </c>
      <c r="B95" t="s">
        <v>61</v>
      </c>
      <c r="C95" t="s">
        <v>322</v>
      </c>
      <c r="D95" t="s">
        <v>348</v>
      </c>
    </row>
    <row r="96" spans="1:4">
      <c r="A96" t="s">
        <v>333</v>
      </c>
      <c r="B96" t="s">
        <v>482</v>
      </c>
      <c r="C96" t="s">
        <v>322</v>
      </c>
      <c r="D96" t="s">
        <v>348</v>
      </c>
    </row>
    <row r="97" spans="1:4">
      <c r="A97" t="s">
        <v>334</v>
      </c>
      <c r="B97" t="s">
        <v>481</v>
      </c>
      <c r="C97" t="s">
        <v>322</v>
      </c>
      <c r="D97" t="s">
        <v>348</v>
      </c>
    </row>
    <row r="98" spans="1:4">
      <c r="A98" t="s">
        <v>335</v>
      </c>
      <c r="B98" t="s">
        <v>484</v>
      </c>
      <c r="C98" t="s">
        <v>322</v>
      </c>
      <c r="D98" t="s">
        <v>348</v>
      </c>
    </row>
    <row r="99" spans="1:4">
      <c r="A99" t="s">
        <v>336</v>
      </c>
      <c r="B99" t="s">
        <v>63</v>
      </c>
      <c r="C99" t="s">
        <v>322</v>
      </c>
      <c r="D99" t="s">
        <v>348</v>
      </c>
    </row>
    <row r="100" spans="1:4">
      <c r="A100" t="s">
        <v>337</v>
      </c>
      <c r="B100" t="s">
        <v>64</v>
      </c>
      <c r="C100" t="s">
        <v>322</v>
      </c>
      <c r="D100" t="s">
        <v>348</v>
      </c>
    </row>
    <row r="101" spans="1:4">
      <c r="A101" t="s">
        <v>338</v>
      </c>
      <c r="B101" t="s">
        <v>486</v>
      </c>
      <c r="C101" t="s">
        <v>322</v>
      </c>
      <c r="D101" t="s">
        <v>348</v>
      </c>
    </row>
    <row r="102" spans="1:4">
      <c r="A102" t="s">
        <v>339</v>
      </c>
      <c r="B102" t="s">
        <v>65</v>
      </c>
      <c r="C102" t="s">
        <v>322</v>
      </c>
      <c r="D102" t="s">
        <v>348</v>
      </c>
    </row>
    <row r="103" spans="1:4">
      <c r="A103" t="s">
        <v>340</v>
      </c>
      <c r="B103" t="s">
        <v>66</v>
      </c>
      <c r="C103" t="s">
        <v>322</v>
      </c>
      <c r="D103" t="s">
        <v>348</v>
      </c>
    </row>
    <row r="104" spans="1:4">
      <c r="A104" t="s">
        <v>341</v>
      </c>
      <c r="B104" t="s">
        <v>67</v>
      </c>
      <c r="C104" t="s">
        <v>322</v>
      </c>
      <c r="D104" t="s">
        <v>348</v>
      </c>
    </row>
    <row r="105" spans="1:4">
      <c r="A105" s="160" t="s">
        <v>608</v>
      </c>
      <c r="B105" s="160" t="s">
        <v>542</v>
      </c>
      <c r="C105" t="s">
        <v>322</v>
      </c>
      <c r="D105" t="s">
        <v>348</v>
      </c>
    </row>
    <row r="106" spans="1:4">
      <c r="A106" s="160" t="s">
        <v>363</v>
      </c>
      <c r="B106" s="160" t="s">
        <v>126</v>
      </c>
      <c r="C106" t="s">
        <v>322</v>
      </c>
      <c r="D106" t="s">
        <v>348</v>
      </c>
    </row>
    <row r="107" spans="1:4">
      <c r="A107" s="160" t="s">
        <v>609</v>
      </c>
      <c r="B107" s="160" t="s">
        <v>543</v>
      </c>
      <c r="C107" t="s">
        <v>322</v>
      </c>
      <c r="D107" t="s">
        <v>348</v>
      </c>
    </row>
    <row r="108" spans="1:4">
      <c r="A108" t="s">
        <v>342</v>
      </c>
      <c r="B108" t="s">
        <v>487</v>
      </c>
      <c r="C108" t="s">
        <v>322</v>
      </c>
      <c r="D108" t="s">
        <v>348</v>
      </c>
    </row>
    <row r="109" spans="1:4">
      <c r="A109" t="s">
        <v>343</v>
      </c>
      <c r="B109" t="s">
        <v>489</v>
      </c>
      <c r="C109" t="s">
        <v>322</v>
      </c>
      <c r="D109" t="s">
        <v>348</v>
      </c>
    </row>
    <row r="110" spans="1:4">
      <c r="A110" t="s">
        <v>344</v>
      </c>
      <c r="B110" t="s">
        <v>69</v>
      </c>
      <c r="C110" t="s">
        <v>322</v>
      </c>
      <c r="D110" t="s">
        <v>348</v>
      </c>
    </row>
    <row r="111" spans="1:4">
      <c r="A111" t="s">
        <v>345</v>
      </c>
      <c r="B111" t="s">
        <v>70</v>
      </c>
      <c r="C111" t="s">
        <v>322</v>
      </c>
      <c r="D111" t="s">
        <v>348</v>
      </c>
    </row>
    <row r="112" spans="1:4">
      <c r="A112" t="s">
        <v>72</v>
      </c>
      <c r="B112" t="s">
        <v>72</v>
      </c>
      <c r="C112" t="s">
        <v>322</v>
      </c>
      <c r="D112" t="s">
        <v>348</v>
      </c>
    </row>
    <row r="113" spans="1:5">
      <c r="A113" t="s">
        <v>43</v>
      </c>
      <c r="B113" t="s">
        <v>43</v>
      </c>
      <c r="C113" t="s">
        <v>322</v>
      </c>
      <c r="D113" t="s">
        <v>348</v>
      </c>
    </row>
    <row r="114" spans="1:5">
      <c r="A114" t="s">
        <v>73</v>
      </c>
      <c r="B114" t="s">
        <v>73</v>
      </c>
      <c r="C114" t="s">
        <v>322</v>
      </c>
      <c r="D114" t="s">
        <v>348</v>
      </c>
    </row>
    <row r="115" spans="1:5">
      <c r="A115" t="s">
        <v>74</v>
      </c>
      <c r="B115" t="s">
        <v>74</v>
      </c>
      <c r="C115" t="s">
        <v>322</v>
      </c>
      <c r="D115" t="s">
        <v>348</v>
      </c>
    </row>
    <row r="116" spans="1:5">
      <c r="A116" t="s">
        <v>346</v>
      </c>
      <c r="B116" t="s">
        <v>75</v>
      </c>
      <c r="C116" t="s">
        <v>322</v>
      </c>
      <c r="D116" t="s">
        <v>348</v>
      </c>
    </row>
    <row r="117" spans="1:5">
      <c r="A117" t="s">
        <v>347</v>
      </c>
      <c r="B117" t="s">
        <v>76</v>
      </c>
      <c r="C117" t="s">
        <v>322</v>
      </c>
      <c r="D117" t="s">
        <v>348</v>
      </c>
    </row>
    <row r="118" spans="1:5">
      <c r="A118" t="s">
        <v>523</v>
      </c>
      <c r="B118" t="s">
        <v>524</v>
      </c>
      <c r="C118" t="s">
        <v>261</v>
      </c>
      <c r="D118" t="s">
        <v>258</v>
      </c>
    </row>
    <row r="119" spans="1:5" ht="18.75">
      <c r="A119" s="50" t="s">
        <v>409</v>
      </c>
      <c r="B119" s="50"/>
      <c r="C119" s="50"/>
      <c r="D119" s="50"/>
      <c r="E119" s="50"/>
    </row>
    <row r="120" spans="1:5">
      <c r="A120" s="160" t="s">
        <v>544</v>
      </c>
      <c r="B120" s="160" t="s">
        <v>544</v>
      </c>
      <c r="C120" t="s">
        <v>322</v>
      </c>
      <c r="D120" t="s">
        <v>258</v>
      </c>
    </row>
    <row r="121" spans="1:5">
      <c r="A121" s="160" t="s">
        <v>610</v>
      </c>
      <c r="B121" s="160" t="s">
        <v>665</v>
      </c>
      <c r="C121" t="s">
        <v>322</v>
      </c>
      <c r="D121" t="s">
        <v>258</v>
      </c>
    </row>
    <row r="122" spans="1:5">
      <c r="A122" s="160" t="s">
        <v>545</v>
      </c>
      <c r="B122" s="160" t="s">
        <v>545</v>
      </c>
      <c r="C122" t="s">
        <v>322</v>
      </c>
      <c r="D122" t="s">
        <v>258</v>
      </c>
    </row>
    <row r="123" spans="1:5">
      <c r="A123" s="160" t="s">
        <v>611</v>
      </c>
      <c r="B123" s="160" t="s">
        <v>546</v>
      </c>
      <c r="C123" t="s">
        <v>322</v>
      </c>
      <c r="D123" t="s">
        <v>258</v>
      </c>
    </row>
    <row r="124" spans="1:5">
      <c r="A124" s="160" t="s">
        <v>612</v>
      </c>
      <c r="B124" s="160" t="s">
        <v>547</v>
      </c>
      <c r="C124" t="s">
        <v>322</v>
      </c>
      <c r="D124" t="s">
        <v>258</v>
      </c>
    </row>
    <row r="125" spans="1:5">
      <c r="A125" s="160" t="s">
        <v>548</v>
      </c>
      <c r="B125" s="160" t="s">
        <v>548</v>
      </c>
      <c r="C125" t="s">
        <v>322</v>
      </c>
      <c r="D125" t="s">
        <v>258</v>
      </c>
    </row>
    <row r="126" spans="1:5">
      <c r="A126" s="160" t="s">
        <v>613</v>
      </c>
      <c r="B126" s="160" t="s">
        <v>549</v>
      </c>
      <c r="C126" t="s">
        <v>322</v>
      </c>
      <c r="D126" t="s">
        <v>258</v>
      </c>
    </row>
    <row r="127" spans="1:5">
      <c r="A127" s="160" t="s">
        <v>298</v>
      </c>
      <c r="B127" s="160" t="s">
        <v>550</v>
      </c>
      <c r="C127" t="s">
        <v>322</v>
      </c>
      <c r="D127" t="s">
        <v>258</v>
      </c>
    </row>
    <row r="128" spans="1:5">
      <c r="A128" s="160" t="s">
        <v>614</v>
      </c>
      <c r="B128" s="160" t="s">
        <v>722</v>
      </c>
      <c r="C128" t="s">
        <v>322</v>
      </c>
      <c r="D128" t="s">
        <v>258</v>
      </c>
    </row>
    <row r="129" spans="1:4">
      <c r="A129" s="160" t="s">
        <v>551</v>
      </c>
      <c r="B129" s="160" t="s">
        <v>551</v>
      </c>
      <c r="C129" t="s">
        <v>322</v>
      </c>
      <c r="D129" t="s">
        <v>258</v>
      </c>
    </row>
    <row r="130" spans="1:4">
      <c r="A130" s="160" t="s">
        <v>552</v>
      </c>
      <c r="B130" s="160" t="s">
        <v>552</v>
      </c>
      <c r="C130" t="s">
        <v>322</v>
      </c>
      <c r="D130" t="s">
        <v>258</v>
      </c>
    </row>
    <row r="131" spans="1:4">
      <c r="A131" s="160" t="s">
        <v>553</v>
      </c>
      <c r="B131" s="160" t="s">
        <v>553</v>
      </c>
      <c r="C131" t="s">
        <v>322</v>
      </c>
      <c r="D131" t="s">
        <v>258</v>
      </c>
    </row>
    <row r="132" spans="1:4">
      <c r="A132" s="160" t="s">
        <v>300</v>
      </c>
      <c r="B132" s="160" t="s">
        <v>554</v>
      </c>
      <c r="C132" t="s">
        <v>322</v>
      </c>
      <c r="D132" t="s">
        <v>258</v>
      </c>
    </row>
    <row r="133" spans="1:4">
      <c r="A133" s="160" t="s">
        <v>615</v>
      </c>
      <c r="B133" s="160" t="s">
        <v>555</v>
      </c>
      <c r="C133" t="s">
        <v>322</v>
      </c>
      <c r="D133" t="s">
        <v>258</v>
      </c>
    </row>
    <row r="134" spans="1:4">
      <c r="A134" t="s">
        <v>298</v>
      </c>
      <c r="B134" t="s">
        <v>473</v>
      </c>
      <c r="C134" t="s">
        <v>322</v>
      </c>
      <c r="D134" t="s">
        <v>258</v>
      </c>
    </row>
    <row r="135" spans="1:4">
      <c r="A135" t="s">
        <v>299</v>
      </c>
      <c r="B135" t="s">
        <v>78</v>
      </c>
      <c r="C135" t="s">
        <v>322</v>
      </c>
      <c r="D135" t="s">
        <v>258</v>
      </c>
    </row>
    <row r="136" spans="1:4">
      <c r="A136" t="s">
        <v>300</v>
      </c>
      <c r="B136" t="s">
        <v>490</v>
      </c>
      <c r="C136" t="s">
        <v>322</v>
      </c>
      <c r="D136" t="s">
        <v>258</v>
      </c>
    </row>
    <row r="137" spans="1:4">
      <c r="A137" t="s">
        <v>668</v>
      </c>
      <c r="B137" t="s">
        <v>673</v>
      </c>
      <c r="C137" t="s">
        <v>322</v>
      </c>
      <c r="D137" t="s">
        <v>258</v>
      </c>
    </row>
    <row r="138" spans="1:4">
      <c r="A138" t="s">
        <v>79</v>
      </c>
      <c r="B138" t="s">
        <v>79</v>
      </c>
      <c r="C138" t="s">
        <v>322</v>
      </c>
      <c r="D138" t="s">
        <v>258</v>
      </c>
    </row>
    <row r="139" spans="1:4">
      <c r="A139" t="s">
        <v>302</v>
      </c>
      <c r="B139" t="s">
        <v>80</v>
      </c>
      <c r="C139" t="s">
        <v>322</v>
      </c>
      <c r="D139" t="s">
        <v>258</v>
      </c>
    </row>
    <row r="140" spans="1:4">
      <c r="A140" t="s">
        <v>303</v>
      </c>
      <c r="B140" t="s">
        <v>81</v>
      </c>
      <c r="C140" t="s">
        <v>322</v>
      </c>
      <c r="D140" t="s">
        <v>258</v>
      </c>
    </row>
    <row r="141" spans="1:4">
      <c r="A141" t="s">
        <v>304</v>
      </c>
      <c r="B141" t="s">
        <v>82</v>
      </c>
      <c r="C141" t="s">
        <v>322</v>
      </c>
      <c r="D141" t="s">
        <v>258</v>
      </c>
    </row>
    <row r="142" spans="1:4">
      <c r="A142" t="s">
        <v>669</v>
      </c>
      <c r="B142" t="s">
        <v>674</v>
      </c>
      <c r="C142" t="s">
        <v>322</v>
      </c>
      <c r="D142" t="s">
        <v>258</v>
      </c>
    </row>
    <row r="143" spans="1:4">
      <c r="A143" t="s">
        <v>306</v>
      </c>
      <c r="B143" t="s">
        <v>509</v>
      </c>
      <c r="C143" t="s">
        <v>322</v>
      </c>
      <c r="D143" t="s">
        <v>258</v>
      </c>
    </row>
    <row r="144" spans="1:4">
      <c r="A144" t="s">
        <v>77</v>
      </c>
      <c r="B144" t="s">
        <v>84</v>
      </c>
      <c r="C144" t="s">
        <v>322</v>
      </c>
      <c r="D144" t="s">
        <v>258</v>
      </c>
    </row>
    <row r="145" spans="1:4">
      <c r="A145" t="s">
        <v>307</v>
      </c>
      <c r="B145" t="s">
        <v>87</v>
      </c>
      <c r="C145" t="s">
        <v>322</v>
      </c>
      <c r="D145" t="s">
        <v>258</v>
      </c>
    </row>
    <row r="146" spans="1:4">
      <c r="A146" t="s">
        <v>308</v>
      </c>
      <c r="B146" t="s">
        <v>88</v>
      </c>
      <c r="C146" t="s">
        <v>322</v>
      </c>
      <c r="D146" t="s">
        <v>258</v>
      </c>
    </row>
    <row r="147" spans="1:4">
      <c r="A147" t="s">
        <v>309</v>
      </c>
      <c r="B147" t="s">
        <v>491</v>
      </c>
      <c r="C147" t="s">
        <v>322</v>
      </c>
      <c r="D147" t="s">
        <v>258</v>
      </c>
    </row>
    <row r="148" spans="1:4">
      <c r="A148" t="s">
        <v>310</v>
      </c>
      <c r="B148" t="s">
        <v>492</v>
      </c>
      <c r="C148" t="s">
        <v>322</v>
      </c>
      <c r="D148" t="s">
        <v>258</v>
      </c>
    </row>
    <row r="149" spans="1:4">
      <c r="A149" t="s">
        <v>311</v>
      </c>
      <c r="B149" t="s">
        <v>90</v>
      </c>
      <c r="C149" t="s">
        <v>322</v>
      </c>
      <c r="D149" t="s">
        <v>258</v>
      </c>
    </row>
    <row r="150" spans="1:4">
      <c r="A150" t="s">
        <v>616</v>
      </c>
      <c r="B150" s="160" t="s">
        <v>531</v>
      </c>
      <c r="C150" t="s">
        <v>322</v>
      </c>
      <c r="D150" t="s">
        <v>258</v>
      </c>
    </row>
    <row r="151" spans="1:4">
      <c r="A151" t="s">
        <v>312</v>
      </c>
      <c r="B151" t="s">
        <v>91</v>
      </c>
      <c r="C151" t="s">
        <v>322</v>
      </c>
      <c r="D151" t="s">
        <v>258</v>
      </c>
    </row>
    <row r="152" spans="1:4">
      <c r="A152" t="s">
        <v>313</v>
      </c>
      <c r="B152" t="s">
        <v>92</v>
      </c>
      <c r="C152" t="s">
        <v>322</v>
      </c>
      <c r="D152" t="s">
        <v>258</v>
      </c>
    </row>
    <row r="153" spans="1:4">
      <c r="A153" t="s">
        <v>94</v>
      </c>
      <c r="B153" t="s">
        <v>94</v>
      </c>
      <c r="C153" t="s">
        <v>322</v>
      </c>
      <c r="D153" t="s">
        <v>258</v>
      </c>
    </row>
    <row r="154" spans="1:4">
      <c r="A154" t="s">
        <v>314</v>
      </c>
      <c r="B154" t="s">
        <v>479</v>
      </c>
      <c r="C154" t="s">
        <v>322</v>
      </c>
      <c r="D154" t="s">
        <v>258</v>
      </c>
    </row>
    <row r="155" spans="1:4">
      <c r="A155" t="s">
        <v>617</v>
      </c>
      <c r="B155" s="160" t="s">
        <v>556</v>
      </c>
      <c r="C155" t="s">
        <v>322</v>
      </c>
      <c r="D155" t="s">
        <v>258</v>
      </c>
    </row>
    <row r="156" spans="1:4">
      <c r="A156" t="s">
        <v>670</v>
      </c>
      <c r="B156" t="s">
        <v>95</v>
      </c>
      <c r="C156" t="s">
        <v>322</v>
      </c>
      <c r="D156" t="s">
        <v>258</v>
      </c>
    </row>
    <row r="157" spans="1:4">
      <c r="A157" t="s">
        <v>85</v>
      </c>
      <c r="B157" t="s">
        <v>96</v>
      </c>
      <c r="C157" t="s">
        <v>322</v>
      </c>
      <c r="D157" t="s">
        <v>258</v>
      </c>
    </row>
    <row r="158" spans="1:4">
      <c r="A158" t="s">
        <v>316</v>
      </c>
      <c r="B158" t="s">
        <v>97</v>
      </c>
      <c r="C158" t="s">
        <v>322</v>
      </c>
      <c r="D158" t="s">
        <v>258</v>
      </c>
    </row>
    <row r="159" spans="1:4">
      <c r="A159" s="160" t="s">
        <v>618</v>
      </c>
      <c r="B159" s="160" t="s">
        <v>557</v>
      </c>
      <c r="C159" t="s">
        <v>322</v>
      </c>
      <c r="D159" t="s">
        <v>258</v>
      </c>
    </row>
    <row r="160" spans="1:4">
      <c r="A160" s="160" t="s">
        <v>619</v>
      </c>
      <c r="B160" s="160" t="s">
        <v>558</v>
      </c>
      <c r="C160" t="s">
        <v>322</v>
      </c>
      <c r="D160" t="s">
        <v>258</v>
      </c>
    </row>
    <row r="161" spans="1:5">
      <c r="A161" s="160" t="s">
        <v>620</v>
      </c>
      <c r="B161" s="160" t="s">
        <v>559</v>
      </c>
      <c r="C161" t="s">
        <v>322</v>
      </c>
      <c r="D161" t="s">
        <v>258</v>
      </c>
    </row>
    <row r="162" spans="1:5">
      <c r="A162" s="160" t="s">
        <v>386</v>
      </c>
      <c r="B162" s="160" t="s">
        <v>185</v>
      </c>
      <c r="C162" t="s">
        <v>322</v>
      </c>
      <c r="D162" t="s">
        <v>258</v>
      </c>
    </row>
    <row r="163" spans="1:5">
      <c r="A163" s="160" t="s">
        <v>621</v>
      </c>
      <c r="B163" s="160" t="s">
        <v>560</v>
      </c>
      <c r="C163" t="s">
        <v>322</v>
      </c>
      <c r="D163" t="s">
        <v>258</v>
      </c>
    </row>
    <row r="164" spans="1:5">
      <c r="A164" t="s">
        <v>317</v>
      </c>
      <c r="B164" t="s">
        <v>99</v>
      </c>
      <c r="C164" t="s">
        <v>322</v>
      </c>
      <c r="D164" t="s">
        <v>258</v>
      </c>
    </row>
    <row r="165" spans="1:5">
      <c r="A165" t="s">
        <v>318</v>
      </c>
      <c r="B165" t="s">
        <v>100</v>
      </c>
      <c r="C165" t="s">
        <v>322</v>
      </c>
      <c r="D165" t="s">
        <v>258</v>
      </c>
    </row>
    <row r="166" spans="1:5">
      <c r="A166" t="s">
        <v>319</v>
      </c>
      <c r="B166" t="s">
        <v>101</v>
      </c>
      <c r="C166" t="s">
        <v>322</v>
      </c>
      <c r="D166" t="s">
        <v>258</v>
      </c>
    </row>
    <row r="167" spans="1:5">
      <c r="A167" t="s">
        <v>320</v>
      </c>
      <c r="B167" t="s">
        <v>102</v>
      </c>
      <c r="C167" t="s">
        <v>322</v>
      </c>
      <c r="D167" t="s">
        <v>258</v>
      </c>
    </row>
    <row r="168" spans="1:5">
      <c r="A168" t="s">
        <v>321</v>
      </c>
      <c r="B168" t="s">
        <v>103</v>
      </c>
      <c r="C168" t="s">
        <v>322</v>
      </c>
      <c r="D168" t="s">
        <v>348</v>
      </c>
    </row>
    <row r="169" spans="1:5">
      <c r="A169" t="s">
        <v>321</v>
      </c>
      <c r="B169" t="s">
        <v>104</v>
      </c>
      <c r="C169" t="s">
        <v>322</v>
      </c>
      <c r="D169" t="s">
        <v>348</v>
      </c>
    </row>
    <row r="170" spans="1:5" ht="18.75">
      <c r="A170" s="50" t="s">
        <v>408</v>
      </c>
      <c r="B170" s="50"/>
      <c r="C170" s="50"/>
      <c r="D170" s="50"/>
      <c r="E170" s="50"/>
    </row>
    <row r="171" spans="1:5">
      <c r="A171" t="s">
        <v>267</v>
      </c>
      <c r="B171" t="s">
        <v>493</v>
      </c>
      <c r="C171" t="s">
        <v>322</v>
      </c>
      <c r="D171" t="s">
        <v>348</v>
      </c>
    </row>
    <row r="172" spans="1:5">
      <c r="A172" t="s">
        <v>349</v>
      </c>
      <c r="B172" t="s">
        <v>109</v>
      </c>
      <c r="C172" t="s">
        <v>322</v>
      </c>
      <c r="D172" t="s">
        <v>348</v>
      </c>
    </row>
    <row r="173" spans="1:5">
      <c r="A173" t="s">
        <v>350</v>
      </c>
      <c r="B173" t="s">
        <v>110</v>
      </c>
      <c r="C173" t="s">
        <v>322</v>
      </c>
      <c r="D173" t="s">
        <v>348</v>
      </c>
    </row>
    <row r="174" spans="1:5">
      <c r="A174" t="s">
        <v>351</v>
      </c>
      <c r="B174" t="s">
        <v>111</v>
      </c>
      <c r="C174" t="s">
        <v>322</v>
      </c>
      <c r="D174" t="s">
        <v>348</v>
      </c>
    </row>
    <row r="175" spans="1:5">
      <c r="A175" t="s">
        <v>352</v>
      </c>
      <c r="B175" t="s">
        <v>112</v>
      </c>
      <c r="C175" t="s">
        <v>322</v>
      </c>
      <c r="D175" t="s">
        <v>348</v>
      </c>
    </row>
    <row r="176" spans="1:5">
      <c r="A176" t="s">
        <v>353</v>
      </c>
      <c r="B176" t="s">
        <v>113</v>
      </c>
      <c r="C176" t="s">
        <v>322</v>
      </c>
      <c r="D176" t="s">
        <v>348</v>
      </c>
    </row>
    <row r="177" spans="1:4">
      <c r="A177" t="s">
        <v>622</v>
      </c>
      <c r="B177" s="160" t="s">
        <v>561</v>
      </c>
      <c r="C177" t="s">
        <v>322</v>
      </c>
      <c r="D177" t="s">
        <v>348</v>
      </c>
    </row>
    <row r="178" spans="1:4">
      <c r="A178" t="s">
        <v>271</v>
      </c>
      <c r="B178" t="s">
        <v>483</v>
      </c>
      <c r="C178" t="s">
        <v>322</v>
      </c>
      <c r="D178" t="s">
        <v>348</v>
      </c>
    </row>
    <row r="179" spans="1:4">
      <c r="A179" t="s">
        <v>354</v>
      </c>
      <c r="B179" t="s">
        <v>114</v>
      </c>
      <c r="C179" t="s">
        <v>322</v>
      </c>
      <c r="D179" t="s">
        <v>348</v>
      </c>
    </row>
    <row r="180" spans="1:4">
      <c r="A180" t="s">
        <v>675</v>
      </c>
      <c r="B180" t="s">
        <v>116</v>
      </c>
      <c r="C180" t="s">
        <v>322</v>
      </c>
      <c r="D180" t="s">
        <v>348</v>
      </c>
    </row>
    <row r="181" spans="1:4">
      <c r="A181" t="s">
        <v>355</v>
      </c>
      <c r="B181" t="s">
        <v>117</v>
      </c>
      <c r="C181" t="s">
        <v>322</v>
      </c>
      <c r="D181" t="s">
        <v>348</v>
      </c>
    </row>
    <row r="182" spans="1:4">
      <c r="A182" t="s">
        <v>360</v>
      </c>
      <c r="B182" t="s">
        <v>118</v>
      </c>
      <c r="C182" t="s">
        <v>322</v>
      </c>
      <c r="D182" t="s">
        <v>348</v>
      </c>
    </row>
    <row r="183" spans="1:4">
      <c r="A183" t="s">
        <v>356</v>
      </c>
      <c r="B183" t="s">
        <v>477</v>
      </c>
      <c r="C183" t="s">
        <v>322</v>
      </c>
      <c r="D183" t="s">
        <v>348</v>
      </c>
    </row>
    <row r="184" spans="1:4">
      <c r="A184" t="s">
        <v>357</v>
      </c>
      <c r="B184" t="s">
        <v>120</v>
      </c>
      <c r="C184" t="s">
        <v>322</v>
      </c>
      <c r="D184" t="s">
        <v>348</v>
      </c>
    </row>
    <row r="185" spans="1:4">
      <c r="A185" t="s">
        <v>358</v>
      </c>
      <c r="B185" t="s">
        <v>121</v>
      </c>
      <c r="C185" t="s">
        <v>322</v>
      </c>
      <c r="D185" t="s">
        <v>348</v>
      </c>
    </row>
    <row r="186" spans="1:4">
      <c r="A186" t="s">
        <v>274</v>
      </c>
      <c r="B186" t="s">
        <v>494</v>
      </c>
      <c r="C186" t="s">
        <v>322</v>
      </c>
      <c r="D186" t="s">
        <v>348</v>
      </c>
    </row>
    <row r="187" spans="1:4">
      <c r="A187" t="s">
        <v>359</v>
      </c>
      <c r="B187" t="s">
        <v>123</v>
      </c>
      <c r="C187" t="s">
        <v>322</v>
      </c>
      <c r="D187" t="s">
        <v>348</v>
      </c>
    </row>
    <row r="188" spans="1:4">
      <c r="A188" t="s">
        <v>275</v>
      </c>
      <c r="B188" t="s">
        <v>495</v>
      </c>
      <c r="C188" t="s">
        <v>322</v>
      </c>
      <c r="D188" t="s">
        <v>348</v>
      </c>
    </row>
    <row r="189" spans="1:4">
      <c r="A189" t="s">
        <v>276</v>
      </c>
      <c r="B189" t="s">
        <v>122</v>
      </c>
      <c r="C189" t="s">
        <v>322</v>
      </c>
      <c r="D189" t="s">
        <v>348</v>
      </c>
    </row>
    <row r="190" spans="1:4">
      <c r="A190" t="s">
        <v>623</v>
      </c>
      <c r="B190" s="160" t="s">
        <v>562</v>
      </c>
      <c r="C190" t="s">
        <v>322</v>
      </c>
      <c r="D190" t="s">
        <v>348</v>
      </c>
    </row>
    <row r="191" spans="1:4">
      <c r="A191" t="s">
        <v>360</v>
      </c>
      <c r="B191" t="s">
        <v>118</v>
      </c>
      <c r="C191" t="s">
        <v>322</v>
      </c>
      <c r="D191" t="s">
        <v>348</v>
      </c>
    </row>
    <row r="192" spans="1:4">
      <c r="A192" t="s">
        <v>4</v>
      </c>
      <c r="B192" t="s">
        <v>485</v>
      </c>
      <c r="C192" t="s">
        <v>322</v>
      </c>
      <c r="D192" t="s">
        <v>348</v>
      </c>
    </row>
    <row r="193" spans="1:4">
      <c r="A193" t="s">
        <v>361</v>
      </c>
      <c r="B193" t="s">
        <v>124</v>
      </c>
      <c r="C193" t="s">
        <v>322</v>
      </c>
      <c r="D193" t="s">
        <v>348</v>
      </c>
    </row>
    <row r="194" spans="1:4">
      <c r="A194" t="s">
        <v>362</v>
      </c>
      <c r="B194" t="s">
        <v>496</v>
      </c>
      <c r="C194" t="s">
        <v>322</v>
      </c>
      <c r="D194" t="s">
        <v>348</v>
      </c>
    </row>
    <row r="195" spans="1:4">
      <c r="A195" t="s">
        <v>281</v>
      </c>
      <c r="B195" t="s">
        <v>498</v>
      </c>
      <c r="C195" t="s">
        <v>322</v>
      </c>
      <c r="D195" t="s">
        <v>348</v>
      </c>
    </row>
    <row r="196" spans="1:4">
      <c r="A196" t="s">
        <v>363</v>
      </c>
      <c r="B196" t="s">
        <v>126</v>
      </c>
      <c r="C196" t="s">
        <v>322</v>
      </c>
      <c r="D196" t="s">
        <v>348</v>
      </c>
    </row>
    <row r="197" spans="1:4">
      <c r="A197" t="s">
        <v>364</v>
      </c>
      <c r="B197" t="s">
        <v>127</v>
      </c>
      <c r="C197" t="s">
        <v>322</v>
      </c>
      <c r="D197" t="s">
        <v>348</v>
      </c>
    </row>
    <row r="198" spans="1:4">
      <c r="A198" t="s">
        <v>66</v>
      </c>
      <c r="B198" t="s">
        <v>500</v>
      </c>
      <c r="C198" t="s">
        <v>322</v>
      </c>
      <c r="D198" t="s">
        <v>348</v>
      </c>
    </row>
    <row r="199" spans="1:4">
      <c r="A199" s="160" t="s">
        <v>608</v>
      </c>
      <c r="B199" s="160" t="s">
        <v>542</v>
      </c>
      <c r="C199" t="s">
        <v>322</v>
      </c>
      <c r="D199" t="s">
        <v>348</v>
      </c>
    </row>
    <row r="200" spans="1:4">
      <c r="A200" s="160" t="s">
        <v>624</v>
      </c>
      <c r="B200" s="160" t="s">
        <v>563</v>
      </c>
      <c r="C200" t="s">
        <v>322</v>
      </c>
      <c r="D200" t="s">
        <v>348</v>
      </c>
    </row>
    <row r="201" spans="1:4">
      <c r="A201" s="160" t="s">
        <v>341</v>
      </c>
      <c r="B201" s="160" t="s">
        <v>67</v>
      </c>
      <c r="C201" t="s">
        <v>322</v>
      </c>
      <c r="D201" t="s">
        <v>348</v>
      </c>
    </row>
    <row r="202" spans="1:4">
      <c r="A202" s="160" t="s">
        <v>339</v>
      </c>
      <c r="B202" s="160" t="s">
        <v>65</v>
      </c>
      <c r="C202" t="s">
        <v>322</v>
      </c>
      <c r="D202" t="s">
        <v>348</v>
      </c>
    </row>
    <row r="203" spans="1:4">
      <c r="A203" s="160" t="s">
        <v>625</v>
      </c>
      <c r="B203" s="160" t="s">
        <v>564</v>
      </c>
      <c r="C203" t="s">
        <v>322</v>
      </c>
      <c r="D203" t="s">
        <v>348</v>
      </c>
    </row>
    <row r="204" spans="1:4">
      <c r="A204" s="160" t="s">
        <v>626</v>
      </c>
      <c r="B204" s="160" t="s">
        <v>565</v>
      </c>
      <c r="C204" t="s">
        <v>322</v>
      </c>
      <c r="D204" t="s">
        <v>348</v>
      </c>
    </row>
    <row r="205" spans="1:4">
      <c r="A205" s="160" t="s">
        <v>363</v>
      </c>
      <c r="B205" s="160" t="s">
        <v>126</v>
      </c>
      <c r="C205" t="s">
        <v>322</v>
      </c>
      <c r="D205" t="s">
        <v>348</v>
      </c>
    </row>
    <row r="206" spans="1:4">
      <c r="A206" s="160" t="s">
        <v>609</v>
      </c>
      <c r="B206" s="160" t="s">
        <v>543</v>
      </c>
      <c r="C206" t="s">
        <v>322</v>
      </c>
      <c r="D206" t="s">
        <v>348</v>
      </c>
    </row>
    <row r="207" spans="1:4">
      <c r="A207" s="160" t="s">
        <v>627</v>
      </c>
      <c r="B207" s="160" t="s">
        <v>567</v>
      </c>
      <c r="C207" t="s">
        <v>322</v>
      </c>
      <c r="D207" t="s">
        <v>348</v>
      </c>
    </row>
    <row r="208" spans="1:4">
      <c r="A208" t="s">
        <v>365</v>
      </c>
      <c r="B208" t="s">
        <v>128</v>
      </c>
      <c r="C208" t="s">
        <v>322</v>
      </c>
      <c r="D208" t="s">
        <v>348</v>
      </c>
    </row>
    <row r="209" spans="1:4">
      <c r="A209" t="s">
        <v>366</v>
      </c>
      <c r="B209" t="s">
        <v>502</v>
      </c>
      <c r="C209" t="s">
        <v>322</v>
      </c>
      <c r="D209" t="s">
        <v>348</v>
      </c>
    </row>
    <row r="210" spans="1:4">
      <c r="A210" t="s">
        <v>367</v>
      </c>
      <c r="B210" t="s">
        <v>129</v>
      </c>
      <c r="C210" t="s">
        <v>322</v>
      </c>
      <c r="D210" t="s">
        <v>348</v>
      </c>
    </row>
    <row r="211" spans="1:4">
      <c r="A211" t="s">
        <v>368</v>
      </c>
      <c r="B211" t="s">
        <v>130</v>
      </c>
      <c r="C211" t="s">
        <v>322</v>
      </c>
      <c r="D211" t="s">
        <v>348</v>
      </c>
    </row>
    <row r="212" spans="1:4">
      <c r="A212" t="s">
        <v>369</v>
      </c>
      <c r="B212" t="s">
        <v>478</v>
      </c>
      <c r="C212" t="s">
        <v>322</v>
      </c>
      <c r="D212" t="s">
        <v>348</v>
      </c>
    </row>
    <row r="213" spans="1:4">
      <c r="A213" t="s">
        <v>370</v>
      </c>
      <c r="B213" t="s">
        <v>131</v>
      </c>
      <c r="C213" t="s">
        <v>322</v>
      </c>
      <c r="D213" t="s">
        <v>348</v>
      </c>
    </row>
    <row r="214" spans="1:4">
      <c r="A214" s="160" t="s">
        <v>628</v>
      </c>
      <c r="B214" s="160" t="s">
        <v>568</v>
      </c>
      <c r="C214" t="s">
        <v>322</v>
      </c>
      <c r="D214" t="s">
        <v>348</v>
      </c>
    </row>
    <row r="215" spans="1:4">
      <c r="A215" s="160" t="s">
        <v>286</v>
      </c>
      <c r="B215" s="160" t="s">
        <v>33</v>
      </c>
      <c r="C215" t="s">
        <v>322</v>
      </c>
      <c r="D215" t="s">
        <v>348</v>
      </c>
    </row>
    <row r="216" spans="1:4">
      <c r="A216" t="s">
        <v>287</v>
      </c>
      <c r="B216" t="s">
        <v>504</v>
      </c>
      <c r="C216" t="s">
        <v>322</v>
      </c>
      <c r="D216" t="s">
        <v>348</v>
      </c>
    </row>
    <row r="217" spans="1:4">
      <c r="A217" t="s">
        <v>26</v>
      </c>
      <c r="B217" t="s">
        <v>488</v>
      </c>
      <c r="C217" t="s">
        <v>322</v>
      </c>
      <c r="D217" t="s">
        <v>348</v>
      </c>
    </row>
    <row r="218" spans="1:4">
      <c r="A218" t="s">
        <v>371</v>
      </c>
      <c r="B218" t="s">
        <v>68</v>
      </c>
      <c r="C218" t="s">
        <v>322</v>
      </c>
      <c r="D218" t="s">
        <v>348</v>
      </c>
    </row>
    <row r="219" spans="1:4">
      <c r="A219" t="s">
        <v>297</v>
      </c>
      <c r="B219" t="s">
        <v>505</v>
      </c>
      <c r="C219" t="s">
        <v>322</v>
      </c>
      <c r="D219" t="s">
        <v>348</v>
      </c>
    </row>
    <row r="220" spans="1:4">
      <c r="A220" t="s">
        <v>372</v>
      </c>
      <c r="B220" t="s">
        <v>133</v>
      </c>
      <c r="C220" t="s">
        <v>322</v>
      </c>
      <c r="D220" t="s">
        <v>348</v>
      </c>
    </row>
    <row r="221" spans="1:4">
      <c r="A221" s="160" t="s">
        <v>629</v>
      </c>
      <c r="B221" s="160" t="s">
        <v>569</v>
      </c>
      <c r="C221" t="s">
        <v>322</v>
      </c>
      <c r="D221" t="s">
        <v>348</v>
      </c>
    </row>
    <row r="222" spans="1:4">
      <c r="A222" s="160" t="s">
        <v>630</v>
      </c>
      <c r="B222" s="160" t="s">
        <v>570</v>
      </c>
      <c r="C222" t="s">
        <v>322</v>
      </c>
      <c r="D222" t="s">
        <v>348</v>
      </c>
    </row>
    <row r="223" spans="1:4">
      <c r="A223" s="160" t="s">
        <v>631</v>
      </c>
      <c r="B223" s="160" t="s">
        <v>571</v>
      </c>
      <c r="C223" t="s">
        <v>322</v>
      </c>
      <c r="D223" t="s">
        <v>348</v>
      </c>
    </row>
    <row r="224" spans="1:4">
      <c r="A224" s="160" t="s">
        <v>43</v>
      </c>
      <c r="B224" s="160" t="s">
        <v>666</v>
      </c>
      <c r="C224" t="s">
        <v>322</v>
      </c>
      <c r="D224" t="s">
        <v>348</v>
      </c>
    </row>
    <row r="225" spans="1:5">
      <c r="A225" t="s">
        <v>48</v>
      </c>
      <c r="B225" t="s">
        <v>506</v>
      </c>
      <c r="C225" t="s">
        <v>322</v>
      </c>
      <c r="D225" t="s">
        <v>348</v>
      </c>
    </row>
    <row r="226" spans="1:5">
      <c r="A226" t="s">
        <v>296</v>
      </c>
      <c r="B226" t="s">
        <v>507</v>
      </c>
      <c r="C226" t="s">
        <v>322</v>
      </c>
      <c r="D226" t="s">
        <v>348</v>
      </c>
    </row>
    <row r="227" spans="1:5">
      <c r="A227" s="132" t="s">
        <v>522</v>
      </c>
      <c r="B227" t="s">
        <v>521</v>
      </c>
      <c r="C227" t="s">
        <v>322</v>
      </c>
      <c r="D227" t="s">
        <v>258</v>
      </c>
    </row>
    <row r="228" spans="1:5">
      <c r="A228" t="s">
        <v>373</v>
      </c>
      <c r="B228" t="s">
        <v>134</v>
      </c>
      <c r="C228" t="s">
        <v>322</v>
      </c>
      <c r="D228" t="s">
        <v>258</v>
      </c>
    </row>
    <row r="229" spans="1:5">
      <c r="A229" t="s">
        <v>374</v>
      </c>
      <c r="B229" t="s">
        <v>135</v>
      </c>
      <c r="C229" t="s">
        <v>322</v>
      </c>
      <c r="D229" t="s">
        <v>258</v>
      </c>
    </row>
    <row r="230" spans="1:5" ht="18.75">
      <c r="A230" s="50" t="s">
        <v>412</v>
      </c>
      <c r="B230" s="50"/>
      <c r="C230" s="50"/>
      <c r="D230" s="50"/>
      <c r="E230" s="50"/>
    </row>
    <row r="231" spans="1:5">
      <c r="A231" t="s">
        <v>413</v>
      </c>
      <c r="B231" t="s">
        <v>508</v>
      </c>
      <c r="C231" t="s">
        <v>322</v>
      </c>
      <c r="D231" t="s">
        <v>258</v>
      </c>
    </row>
    <row r="232" spans="1:5">
      <c r="A232" t="s">
        <v>414</v>
      </c>
      <c r="B232" t="s">
        <v>137</v>
      </c>
      <c r="C232" t="s">
        <v>322</v>
      </c>
      <c r="D232" t="s">
        <v>258</v>
      </c>
    </row>
    <row r="233" spans="1:5">
      <c r="A233" t="s">
        <v>415</v>
      </c>
      <c r="B233" t="s">
        <v>138</v>
      </c>
      <c r="C233" t="s">
        <v>322</v>
      </c>
      <c r="D233" t="s">
        <v>258</v>
      </c>
    </row>
    <row r="234" spans="1:5">
      <c r="A234" t="s">
        <v>416</v>
      </c>
      <c r="B234" t="s">
        <v>139</v>
      </c>
      <c r="C234" t="s">
        <v>322</v>
      </c>
      <c r="D234" t="s">
        <v>258</v>
      </c>
    </row>
    <row r="235" spans="1:5">
      <c r="A235" t="s">
        <v>417</v>
      </c>
      <c r="B235" t="s">
        <v>510</v>
      </c>
      <c r="C235" t="s">
        <v>322</v>
      </c>
      <c r="D235" t="s">
        <v>258</v>
      </c>
    </row>
    <row r="236" spans="1:5">
      <c r="A236" t="s">
        <v>418</v>
      </c>
      <c r="B236" t="s">
        <v>140</v>
      </c>
      <c r="C236" t="s">
        <v>322</v>
      </c>
      <c r="D236" t="s">
        <v>258</v>
      </c>
    </row>
    <row r="237" spans="1:5">
      <c r="A237" t="s">
        <v>419</v>
      </c>
      <c r="B237" t="s">
        <v>142</v>
      </c>
      <c r="C237" t="s">
        <v>322</v>
      </c>
      <c r="D237" t="s">
        <v>258</v>
      </c>
    </row>
    <row r="238" spans="1:5">
      <c r="A238" t="s">
        <v>420</v>
      </c>
      <c r="B238" t="s">
        <v>143</v>
      </c>
      <c r="C238" t="s">
        <v>322</v>
      </c>
      <c r="D238" t="s">
        <v>258</v>
      </c>
    </row>
    <row r="239" spans="1:5">
      <c r="A239" t="s">
        <v>421</v>
      </c>
      <c r="B239" t="s">
        <v>144</v>
      </c>
      <c r="C239" t="s">
        <v>322</v>
      </c>
      <c r="D239" t="s">
        <v>258</v>
      </c>
    </row>
    <row r="240" spans="1:5">
      <c r="A240" t="s">
        <v>145</v>
      </c>
      <c r="B240" t="s">
        <v>145</v>
      </c>
      <c r="C240" t="s">
        <v>322</v>
      </c>
      <c r="D240" t="s">
        <v>258</v>
      </c>
    </row>
    <row r="241" spans="1:4">
      <c r="A241" t="s">
        <v>422</v>
      </c>
      <c r="B241" t="s">
        <v>146</v>
      </c>
      <c r="C241" t="s">
        <v>322</v>
      </c>
      <c r="D241" t="s">
        <v>258</v>
      </c>
    </row>
    <row r="242" spans="1:4">
      <c r="A242" t="s">
        <v>147</v>
      </c>
      <c r="B242" t="s">
        <v>147</v>
      </c>
      <c r="C242" t="s">
        <v>322</v>
      </c>
      <c r="D242" t="s">
        <v>258</v>
      </c>
    </row>
    <row r="243" spans="1:4">
      <c r="A243" t="s">
        <v>423</v>
      </c>
      <c r="B243" t="s">
        <v>148</v>
      </c>
      <c r="C243" t="s">
        <v>322</v>
      </c>
      <c r="D243" t="s">
        <v>258</v>
      </c>
    </row>
    <row r="244" spans="1:4">
      <c r="A244" t="s">
        <v>149</v>
      </c>
      <c r="B244" t="s">
        <v>149</v>
      </c>
      <c r="C244" t="s">
        <v>322</v>
      </c>
      <c r="D244" t="s">
        <v>258</v>
      </c>
    </row>
    <row r="245" spans="1:4">
      <c r="A245" t="s">
        <v>424</v>
      </c>
      <c r="B245" t="s">
        <v>150</v>
      </c>
      <c r="C245" t="s">
        <v>322</v>
      </c>
      <c r="D245" t="s">
        <v>258</v>
      </c>
    </row>
    <row r="246" spans="1:4">
      <c r="A246" t="s">
        <v>425</v>
      </c>
      <c r="B246" t="s">
        <v>151</v>
      </c>
      <c r="C246" t="s">
        <v>322</v>
      </c>
      <c r="D246" t="s">
        <v>258</v>
      </c>
    </row>
    <row r="247" spans="1:4">
      <c r="A247" t="s">
        <v>426</v>
      </c>
      <c r="B247" t="s">
        <v>152</v>
      </c>
      <c r="C247" t="s">
        <v>322</v>
      </c>
      <c r="D247" t="s">
        <v>258</v>
      </c>
    </row>
    <row r="248" spans="1:4">
      <c r="A248" t="s">
        <v>427</v>
      </c>
      <c r="B248" t="s">
        <v>153</v>
      </c>
      <c r="C248" t="s">
        <v>322</v>
      </c>
      <c r="D248" t="s">
        <v>258</v>
      </c>
    </row>
    <row r="249" spans="1:4">
      <c r="A249" t="s">
        <v>154</v>
      </c>
      <c r="B249" t="s">
        <v>154</v>
      </c>
      <c r="C249" t="s">
        <v>322</v>
      </c>
      <c r="D249" t="s">
        <v>258</v>
      </c>
    </row>
    <row r="250" spans="1:4">
      <c r="A250" t="s">
        <v>632</v>
      </c>
      <c r="B250" s="160" t="s">
        <v>572</v>
      </c>
      <c r="C250" t="s">
        <v>322</v>
      </c>
      <c r="D250" t="s">
        <v>258</v>
      </c>
    </row>
    <row r="251" spans="1:4">
      <c r="A251" t="s">
        <v>428</v>
      </c>
      <c r="B251" t="s">
        <v>511</v>
      </c>
      <c r="C251" t="s">
        <v>322</v>
      </c>
      <c r="D251" t="s">
        <v>258</v>
      </c>
    </row>
    <row r="252" spans="1:4">
      <c r="A252" t="s">
        <v>429</v>
      </c>
      <c r="B252" t="s">
        <v>155</v>
      </c>
      <c r="C252" t="s">
        <v>322</v>
      </c>
      <c r="D252" t="s">
        <v>258</v>
      </c>
    </row>
    <row r="253" spans="1:4">
      <c r="A253" t="s">
        <v>430</v>
      </c>
      <c r="B253" t="s">
        <v>156</v>
      </c>
      <c r="C253" t="s">
        <v>322</v>
      </c>
      <c r="D253" t="s">
        <v>258</v>
      </c>
    </row>
    <row r="254" spans="1:4">
      <c r="A254" t="s">
        <v>431</v>
      </c>
      <c r="B254" t="s">
        <v>513</v>
      </c>
      <c r="C254" t="s">
        <v>322</v>
      </c>
      <c r="D254" t="s">
        <v>258</v>
      </c>
    </row>
    <row r="255" spans="1:4">
      <c r="A255" t="s">
        <v>432</v>
      </c>
      <c r="B255" t="s">
        <v>158</v>
      </c>
      <c r="C255" t="s">
        <v>322</v>
      </c>
      <c r="D255" t="s">
        <v>258</v>
      </c>
    </row>
    <row r="256" spans="1:4">
      <c r="A256" t="s">
        <v>433</v>
      </c>
      <c r="B256" t="s">
        <v>518</v>
      </c>
      <c r="C256" t="s">
        <v>322</v>
      </c>
      <c r="D256" t="s">
        <v>258</v>
      </c>
    </row>
    <row r="257" spans="1:4">
      <c r="A257" t="s">
        <v>633</v>
      </c>
      <c r="B257" s="160" t="s">
        <v>573</v>
      </c>
      <c r="C257" t="s">
        <v>322</v>
      </c>
      <c r="D257" t="s">
        <v>258</v>
      </c>
    </row>
    <row r="258" spans="1:4">
      <c r="A258" t="s">
        <v>634</v>
      </c>
      <c r="B258" s="160" t="s">
        <v>574</v>
      </c>
      <c r="C258" t="s">
        <v>322</v>
      </c>
      <c r="D258" t="s">
        <v>258</v>
      </c>
    </row>
    <row r="259" spans="1:4">
      <c r="A259" t="s">
        <v>635</v>
      </c>
      <c r="B259" s="160" t="s">
        <v>575</v>
      </c>
      <c r="C259" t="s">
        <v>322</v>
      </c>
      <c r="D259" t="s">
        <v>258</v>
      </c>
    </row>
    <row r="260" spans="1:4">
      <c r="A260" t="s">
        <v>636</v>
      </c>
      <c r="B260" s="160" t="s">
        <v>576</v>
      </c>
      <c r="C260" t="s">
        <v>322</v>
      </c>
      <c r="D260" t="s">
        <v>258</v>
      </c>
    </row>
    <row r="261" spans="1:4">
      <c r="A261" t="s">
        <v>434</v>
      </c>
      <c r="B261" t="s">
        <v>512</v>
      </c>
      <c r="C261" t="s">
        <v>322</v>
      </c>
      <c r="D261" t="s">
        <v>258</v>
      </c>
    </row>
    <row r="262" spans="1:4">
      <c r="A262" t="s">
        <v>435</v>
      </c>
      <c r="B262" t="s">
        <v>160</v>
      </c>
      <c r="C262" t="s">
        <v>322</v>
      </c>
      <c r="D262" t="s">
        <v>258</v>
      </c>
    </row>
    <row r="263" spans="1:4">
      <c r="A263" t="s">
        <v>436</v>
      </c>
      <c r="B263" t="s">
        <v>161</v>
      </c>
      <c r="C263" t="s">
        <v>322</v>
      </c>
      <c r="D263" t="s">
        <v>258</v>
      </c>
    </row>
    <row r="264" spans="1:4">
      <c r="A264" t="s">
        <v>637</v>
      </c>
      <c r="B264" s="160" t="s">
        <v>577</v>
      </c>
      <c r="C264" t="s">
        <v>322</v>
      </c>
      <c r="D264" t="s">
        <v>258</v>
      </c>
    </row>
    <row r="265" spans="1:4">
      <c r="A265" t="s">
        <v>638</v>
      </c>
      <c r="B265" s="160" t="s">
        <v>579</v>
      </c>
      <c r="C265" t="s">
        <v>322</v>
      </c>
      <c r="D265" t="s">
        <v>258</v>
      </c>
    </row>
    <row r="266" spans="1:4">
      <c r="A266" t="s">
        <v>639</v>
      </c>
      <c r="B266" s="160" t="s">
        <v>580</v>
      </c>
      <c r="C266" t="s">
        <v>322</v>
      </c>
      <c r="D266" t="s">
        <v>258</v>
      </c>
    </row>
    <row r="267" spans="1:4">
      <c r="A267" t="s">
        <v>437</v>
      </c>
      <c r="B267" t="s">
        <v>581</v>
      </c>
      <c r="C267" t="s">
        <v>322</v>
      </c>
      <c r="D267" t="s">
        <v>258</v>
      </c>
    </row>
    <row r="268" spans="1:4">
      <c r="A268" t="s">
        <v>438</v>
      </c>
      <c r="B268" t="s">
        <v>163</v>
      </c>
      <c r="C268" t="s">
        <v>322</v>
      </c>
      <c r="D268" t="s">
        <v>258</v>
      </c>
    </row>
    <row r="269" spans="1:4">
      <c r="A269" t="s">
        <v>439</v>
      </c>
      <c r="B269" t="s">
        <v>164</v>
      </c>
      <c r="C269" t="s">
        <v>322</v>
      </c>
      <c r="D269" t="s">
        <v>258</v>
      </c>
    </row>
    <row r="270" spans="1:4">
      <c r="A270" t="s">
        <v>440</v>
      </c>
      <c r="B270" t="s">
        <v>515</v>
      </c>
      <c r="C270" t="s">
        <v>322</v>
      </c>
      <c r="D270" t="s">
        <v>258</v>
      </c>
    </row>
    <row r="271" spans="1:4">
      <c r="A271" t="s">
        <v>441</v>
      </c>
      <c r="B271" t="s">
        <v>166</v>
      </c>
      <c r="C271" t="s">
        <v>322</v>
      </c>
      <c r="D271" t="s">
        <v>348</v>
      </c>
    </row>
    <row r="272" spans="1:4">
      <c r="A272" t="s">
        <v>441</v>
      </c>
      <c r="B272" t="s">
        <v>167</v>
      </c>
      <c r="C272" t="s">
        <v>322</v>
      </c>
      <c r="D272" t="s">
        <v>348</v>
      </c>
    </row>
    <row r="273" spans="1:5">
      <c r="A273" t="s">
        <v>442</v>
      </c>
      <c r="B273" t="s">
        <v>168</v>
      </c>
      <c r="C273" t="s">
        <v>322</v>
      </c>
      <c r="D273" t="s">
        <v>258</v>
      </c>
    </row>
    <row r="274" spans="1:5">
      <c r="A274" t="s">
        <v>443</v>
      </c>
      <c r="B274" t="s">
        <v>169</v>
      </c>
      <c r="C274" t="s">
        <v>322</v>
      </c>
      <c r="D274" t="s">
        <v>258</v>
      </c>
    </row>
    <row r="275" spans="1:5">
      <c r="A275" t="s">
        <v>444</v>
      </c>
      <c r="B275" t="s">
        <v>170</v>
      </c>
      <c r="C275" t="s">
        <v>322</v>
      </c>
      <c r="D275" t="s">
        <v>258</v>
      </c>
    </row>
    <row r="276" spans="1:5" ht="18.75">
      <c r="A276" s="50" t="s">
        <v>407</v>
      </c>
      <c r="B276" s="50"/>
      <c r="C276" s="50"/>
      <c r="D276" s="50"/>
      <c r="E276" s="50"/>
    </row>
    <row r="277" spans="1:5">
      <c r="A277" t="s">
        <v>375</v>
      </c>
      <c r="B277" t="s">
        <v>172</v>
      </c>
      <c r="C277" t="s">
        <v>322</v>
      </c>
      <c r="D277" t="s">
        <v>258</v>
      </c>
    </row>
    <row r="278" spans="1:5">
      <c r="A278" t="s">
        <v>376</v>
      </c>
      <c r="B278" t="s">
        <v>173</v>
      </c>
      <c r="C278" t="s">
        <v>322</v>
      </c>
      <c r="D278" t="s">
        <v>258</v>
      </c>
    </row>
    <row r="279" spans="1:5">
      <c r="A279" t="s">
        <v>377</v>
      </c>
      <c r="B279" t="s">
        <v>174</v>
      </c>
      <c r="C279" t="s">
        <v>322</v>
      </c>
      <c r="D279" t="s">
        <v>258</v>
      </c>
    </row>
    <row r="280" spans="1:5">
      <c r="A280" t="s">
        <v>672</v>
      </c>
      <c r="B280" t="s">
        <v>671</v>
      </c>
      <c r="C280" t="s">
        <v>322</v>
      </c>
      <c r="D280" t="s">
        <v>258</v>
      </c>
    </row>
    <row r="281" spans="1:5">
      <c r="A281" t="s">
        <v>640</v>
      </c>
      <c r="B281" s="160" t="s">
        <v>582</v>
      </c>
      <c r="C281" t="s">
        <v>322</v>
      </c>
      <c r="D281" t="s">
        <v>258</v>
      </c>
    </row>
    <row r="282" spans="1:5">
      <c r="A282" t="s">
        <v>378</v>
      </c>
      <c r="B282" t="s">
        <v>175</v>
      </c>
      <c r="C282" t="s">
        <v>322</v>
      </c>
      <c r="D282" t="s">
        <v>258</v>
      </c>
    </row>
    <row r="283" spans="1:5">
      <c r="A283" t="s">
        <v>379</v>
      </c>
      <c r="B283" t="s">
        <v>176</v>
      </c>
      <c r="C283" t="s">
        <v>322</v>
      </c>
      <c r="D283" t="s">
        <v>258</v>
      </c>
    </row>
    <row r="284" spans="1:5">
      <c r="A284" t="s">
        <v>380</v>
      </c>
      <c r="B284" t="s">
        <v>177</v>
      </c>
      <c r="C284" t="s">
        <v>322</v>
      </c>
      <c r="D284" t="s">
        <v>258</v>
      </c>
    </row>
    <row r="285" spans="1:5">
      <c r="A285" t="s">
        <v>641</v>
      </c>
      <c r="B285" s="160" t="s">
        <v>583</v>
      </c>
      <c r="C285" t="s">
        <v>322</v>
      </c>
      <c r="D285" t="s">
        <v>258</v>
      </c>
    </row>
    <row r="286" spans="1:5">
      <c r="A286" t="s">
        <v>381</v>
      </c>
      <c r="B286" t="s">
        <v>178</v>
      </c>
      <c r="C286" t="s">
        <v>322</v>
      </c>
      <c r="D286" t="s">
        <v>258</v>
      </c>
    </row>
    <row r="287" spans="1:5">
      <c r="A287" t="s">
        <v>382</v>
      </c>
      <c r="B287" t="s">
        <v>180</v>
      </c>
      <c r="C287" t="s">
        <v>322</v>
      </c>
      <c r="D287" t="s">
        <v>258</v>
      </c>
    </row>
    <row r="288" spans="1:5">
      <c r="A288" t="s">
        <v>642</v>
      </c>
      <c r="B288" s="160" t="s">
        <v>584</v>
      </c>
      <c r="C288" t="s">
        <v>322</v>
      </c>
      <c r="D288" t="s">
        <v>258</v>
      </c>
    </row>
    <row r="289" spans="1:4">
      <c r="A289" t="s">
        <v>643</v>
      </c>
      <c r="B289" s="160" t="s">
        <v>585</v>
      </c>
      <c r="C289" t="s">
        <v>322</v>
      </c>
      <c r="D289" t="s">
        <v>258</v>
      </c>
    </row>
    <row r="290" spans="1:4">
      <c r="A290" t="s">
        <v>644</v>
      </c>
      <c r="B290" s="160" t="s">
        <v>586</v>
      </c>
      <c r="C290" t="s">
        <v>322</v>
      </c>
      <c r="D290" t="s">
        <v>258</v>
      </c>
    </row>
    <row r="291" spans="1:4">
      <c r="A291" t="s">
        <v>383</v>
      </c>
      <c r="B291" t="s">
        <v>181</v>
      </c>
      <c r="C291" t="s">
        <v>322</v>
      </c>
      <c r="D291" t="s">
        <v>258</v>
      </c>
    </row>
    <row r="292" spans="1:4">
      <c r="A292" t="s">
        <v>384</v>
      </c>
      <c r="B292" t="s">
        <v>183</v>
      </c>
      <c r="C292" t="s">
        <v>322</v>
      </c>
      <c r="D292" t="s">
        <v>258</v>
      </c>
    </row>
    <row r="293" spans="1:4">
      <c r="A293" t="s">
        <v>385</v>
      </c>
      <c r="B293" t="s">
        <v>184</v>
      </c>
      <c r="C293" t="s">
        <v>322</v>
      </c>
      <c r="D293" t="s">
        <v>258</v>
      </c>
    </row>
    <row r="294" spans="1:4">
      <c r="A294" t="s">
        <v>386</v>
      </c>
      <c r="B294" t="s">
        <v>185</v>
      </c>
      <c r="C294" t="s">
        <v>322</v>
      </c>
      <c r="D294" t="s">
        <v>258</v>
      </c>
    </row>
    <row r="295" spans="1:4">
      <c r="A295" t="s">
        <v>387</v>
      </c>
      <c r="B295" t="s">
        <v>186</v>
      </c>
      <c r="C295" t="s">
        <v>322</v>
      </c>
      <c r="D295" t="s">
        <v>258</v>
      </c>
    </row>
    <row r="296" spans="1:4">
      <c r="A296" t="s">
        <v>388</v>
      </c>
      <c r="B296" t="s">
        <v>159</v>
      </c>
      <c r="C296" t="s">
        <v>322</v>
      </c>
      <c r="D296" t="s">
        <v>258</v>
      </c>
    </row>
    <row r="297" spans="1:4">
      <c r="A297" t="s">
        <v>389</v>
      </c>
      <c r="B297" t="s">
        <v>187</v>
      </c>
      <c r="C297" t="s">
        <v>322</v>
      </c>
      <c r="D297" t="s">
        <v>258</v>
      </c>
    </row>
    <row r="298" spans="1:4">
      <c r="A298" t="s">
        <v>390</v>
      </c>
      <c r="B298" t="s">
        <v>188</v>
      </c>
      <c r="C298" t="s">
        <v>322</v>
      </c>
      <c r="D298" t="s">
        <v>258</v>
      </c>
    </row>
    <row r="299" spans="1:4">
      <c r="A299" s="160" t="s">
        <v>645</v>
      </c>
      <c r="B299" s="160" t="s">
        <v>587</v>
      </c>
      <c r="C299" t="s">
        <v>322</v>
      </c>
      <c r="D299" t="s">
        <v>258</v>
      </c>
    </row>
    <row r="300" spans="1:4">
      <c r="A300" s="160" t="s">
        <v>646</v>
      </c>
      <c r="B300" s="160" t="s">
        <v>588</v>
      </c>
      <c r="C300" t="s">
        <v>322</v>
      </c>
      <c r="D300" t="s">
        <v>258</v>
      </c>
    </row>
    <row r="301" spans="1:4">
      <c r="A301" s="160" t="s">
        <v>647</v>
      </c>
      <c r="B301" s="160" t="s">
        <v>589</v>
      </c>
      <c r="C301" t="s">
        <v>322</v>
      </c>
      <c r="D301" t="s">
        <v>258</v>
      </c>
    </row>
    <row r="302" spans="1:4">
      <c r="A302" s="160" t="s">
        <v>648</v>
      </c>
      <c r="B302" s="160" t="s">
        <v>667</v>
      </c>
      <c r="C302" t="s">
        <v>322</v>
      </c>
      <c r="D302" t="s">
        <v>258</v>
      </c>
    </row>
    <row r="303" spans="1:4">
      <c r="A303" s="132" t="s">
        <v>520</v>
      </c>
      <c r="B303" t="s">
        <v>519</v>
      </c>
      <c r="C303" t="s">
        <v>322</v>
      </c>
      <c r="D303" t="s">
        <v>258</v>
      </c>
    </row>
    <row r="304" spans="1:4">
      <c r="A304" t="s">
        <v>391</v>
      </c>
      <c r="B304" t="s">
        <v>189</v>
      </c>
      <c r="C304" t="s">
        <v>322</v>
      </c>
      <c r="D304" t="s">
        <v>258</v>
      </c>
    </row>
    <row r="305" spans="1:4">
      <c r="A305" t="s">
        <v>392</v>
      </c>
      <c r="B305" t="s">
        <v>514</v>
      </c>
      <c r="C305" t="s">
        <v>322</v>
      </c>
      <c r="D305" t="s">
        <v>258</v>
      </c>
    </row>
    <row r="306" spans="1:4">
      <c r="A306" t="s">
        <v>393</v>
      </c>
      <c r="B306" t="s">
        <v>191</v>
      </c>
      <c r="C306" t="s">
        <v>322</v>
      </c>
      <c r="D306" t="s">
        <v>258</v>
      </c>
    </row>
    <row r="307" spans="1:4">
      <c r="A307" t="s">
        <v>394</v>
      </c>
      <c r="B307" t="s">
        <v>233</v>
      </c>
      <c r="C307" t="s">
        <v>322</v>
      </c>
      <c r="D307" t="s">
        <v>258</v>
      </c>
    </row>
    <row r="308" spans="1:4">
      <c r="A308" t="s">
        <v>395</v>
      </c>
      <c r="B308" t="s">
        <v>192</v>
      </c>
      <c r="C308" t="s">
        <v>322</v>
      </c>
      <c r="D308" t="s">
        <v>348</v>
      </c>
    </row>
    <row r="309" spans="1:4">
      <c r="A309" t="s">
        <v>395</v>
      </c>
      <c r="B309" t="s">
        <v>193</v>
      </c>
      <c r="C309" t="s">
        <v>322</v>
      </c>
      <c r="D309" t="s">
        <v>348</v>
      </c>
    </row>
    <row r="310" spans="1:4">
      <c r="A310" t="s">
        <v>396</v>
      </c>
      <c r="B310" t="s">
        <v>195</v>
      </c>
      <c r="C310" t="s">
        <v>261</v>
      </c>
      <c r="D310" t="s">
        <v>348</v>
      </c>
    </row>
    <row r="311" spans="1:4">
      <c r="A311" t="s">
        <v>397</v>
      </c>
      <c r="B311" t="s">
        <v>197</v>
      </c>
      <c r="C311" t="s">
        <v>322</v>
      </c>
      <c r="D311" t="s">
        <v>258</v>
      </c>
    </row>
    <row r="312" spans="1:4">
      <c r="A312" t="s">
        <v>427</v>
      </c>
      <c r="B312" t="s">
        <v>198</v>
      </c>
      <c r="C312" t="s">
        <v>322</v>
      </c>
      <c r="D312" t="s">
        <v>258</v>
      </c>
    </row>
    <row r="313" spans="1:4">
      <c r="A313" t="s">
        <v>398</v>
      </c>
      <c r="B313" t="s">
        <v>199</v>
      </c>
      <c r="C313" t="s">
        <v>322</v>
      </c>
      <c r="D313" t="s">
        <v>258</v>
      </c>
    </row>
    <row r="314" spans="1:4">
      <c r="A314" t="s">
        <v>200</v>
      </c>
      <c r="B314" t="s">
        <v>200</v>
      </c>
      <c r="C314" t="s">
        <v>322</v>
      </c>
      <c r="D314" t="s">
        <v>258</v>
      </c>
    </row>
    <row r="315" spans="1:4">
      <c r="A315" t="s">
        <v>399</v>
      </c>
      <c r="B315" t="s">
        <v>201</v>
      </c>
      <c r="C315" t="s">
        <v>322</v>
      </c>
      <c r="D315" t="s">
        <v>258</v>
      </c>
    </row>
    <row r="316" spans="1:4">
      <c r="A316" t="s">
        <v>400</v>
      </c>
      <c r="B316" t="s">
        <v>497</v>
      </c>
      <c r="C316" t="s">
        <v>322</v>
      </c>
      <c r="D316" t="s">
        <v>258</v>
      </c>
    </row>
    <row r="317" spans="1:4">
      <c r="A317" t="s">
        <v>401</v>
      </c>
      <c r="B317" t="s">
        <v>499</v>
      </c>
      <c r="C317" t="s">
        <v>322</v>
      </c>
      <c r="D317" t="s">
        <v>258</v>
      </c>
    </row>
    <row r="318" spans="1:4">
      <c r="A318" t="s">
        <v>402</v>
      </c>
      <c r="B318" t="s">
        <v>501</v>
      </c>
      <c r="C318" t="s">
        <v>322</v>
      </c>
      <c r="D318" t="s">
        <v>258</v>
      </c>
    </row>
    <row r="319" spans="1:4">
      <c r="A319" t="s">
        <v>403</v>
      </c>
      <c r="B319" t="s">
        <v>503</v>
      </c>
      <c r="C319" t="s">
        <v>322</v>
      </c>
      <c r="D319" t="s">
        <v>258</v>
      </c>
    </row>
    <row r="320" spans="1:4">
      <c r="A320" t="s">
        <v>404</v>
      </c>
      <c r="B320" t="s">
        <v>516</v>
      </c>
      <c r="C320" t="s">
        <v>322</v>
      </c>
      <c r="D320" t="s">
        <v>258</v>
      </c>
    </row>
    <row r="321" spans="1:5">
      <c r="A321" t="s">
        <v>649</v>
      </c>
      <c r="B321" s="160" t="s">
        <v>591</v>
      </c>
      <c r="C321" t="s">
        <v>322</v>
      </c>
      <c r="D321" t="s">
        <v>258</v>
      </c>
    </row>
    <row r="322" spans="1:5">
      <c r="A322" t="s">
        <v>650</v>
      </c>
      <c r="B322" s="160" t="s">
        <v>592</v>
      </c>
      <c r="C322" t="s">
        <v>322</v>
      </c>
      <c r="D322" t="s">
        <v>258</v>
      </c>
    </row>
    <row r="323" spans="1:5">
      <c r="A323" t="s">
        <v>651</v>
      </c>
      <c r="B323" s="160" t="s">
        <v>593</v>
      </c>
      <c r="C323" t="s">
        <v>322</v>
      </c>
      <c r="D323" t="s">
        <v>258</v>
      </c>
    </row>
    <row r="324" spans="1:5">
      <c r="A324" t="s">
        <v>652</v>
      </c>
      <c r="B324" s="160" t="s">
        <v>594</v>
      </c>
      <c r="C324" t="s">
        <v>322</v>
      </c>
      <c r="D324" t="s">
        <v>258</v>
      </c>
    </row>
    <row r="325" spans="1:5">
      <c r="A325" t="s">
        <v>653</v>
      </c>
      <c r="B325" s="160" t="s">
        <v>595</v>
      </c>
      <c r="C325" t="s">
        <v>322</v>
      </c>
      <c r="D325" t="s">
        <v>258</v>
      </c>
    </row>
    <row r="326" spans="1:5">
      <c r="A326" t="s">
        <v>654</v>
      </c>
      <c r="B326" s="160" t="s">
        <v>596</v>
      </c>
      <c r="C326" t="s">
        <v>322</v>
      </c>
      <c r="D326" t="s">
        <v>258</v>
      </c>
    </row>
    <row r="327" spans="1:5">
      <c r="A327" t="s">
        <v>655</v>
      </c>
      <c r="B327" s="160" t="s">
        <v>597</v>
      </c>
      <c r="C327" t="s">
        <v>322</v>
      </c>
      <c r="D327" t="s">
        <v>258</v>
      </c>
    </row>
    <row r="328" spans="1:5">
      <c r="A328" t="s">
        <v>405</v>
      </c>
      <c r="B328" t="s">
        <v>202</v>
      </c>
      <c r="C328" t="s">
        <v>322</v>
      </c>
      <c r="D328" t="s">
        <v>258</v>
      </c>
    </row>
    <row r="329" spans="1:5">
      <c r="A329" t="s">
        <v>406</v>
      </c>
      <c r="B329" t="s">
        <v>203</v>
      </c>
      <c r="C329" t="s">
        <v>322</v>
      </c>
      <c r="D329" t="s">
        <v>258</v>
      </c>
    </row>
    <row r="330" spans="1:5" ht="18.75">
      <c r="A330" s="50" t="s">
        <v>723</v>
      </c>
      <c r="B330" s="50"/>
      <c r="C330" s="50"/>
      <c r="D330" s="50"/>
      <c r="E330" s="50"/>
    </row>
    <row r="331" spans="1:5">
      <c r="A331" t="s">
        <v>676</v>
      </c>
      <c r="B331" t="s">
        <v>676</v>
      </c>
      <c r="C331" t="s">
        <v>262</v>
      </c>
      <c r="D331" t="s">
        <v>348</v>
      </c>
    </row>
    <row r="332" spans="1:5">
      <c r="A332" t="s">
        <v>725</v>
      </c>
      <c r="B332" t="s">
        <v>677</v>
      </c>
      <c r="C332" t="s">
        <v>261</v>
      </c>
      <c r="D332" t="s">
        <v>258</v>
      </c>
    </row>
    <row r="333" spans="1:5">
      <c r="A333" t="s">
        <v>726</v>
      </c>
      <c r="B333" t="s">
        <v>678</v>
      </c>
      <c r="C333" t="s">
        <v>322</v>
      </c>
      <c r="D333" t="s">
        <v>258</v>
      </c>
    </row>
    <row r="334" spans="1:5">
      <c r="A334" t="s">
        <v>727</v>
      </c>
      <c r="B334" t="s">
        <v>679</v>
      </c>
      <c r="C334" t="s">
        <v>322</v>
      </c>
      <c r="D334" t="s">
        <v>258</v>
      </c>
    </row>
    <row r="335" spans="1:5">
      <c r="A335" t="s">
        <v>728</v>
      </c>
      <c r="B335" t="s">
        <v>680</v>
      </c>
      <c r="C335" t="s">
        <v>322</v>
      </c>
      <c r="D335" t="s">
        <v>258</v>
      </c>
    </row>
    <row r="336" spans="1:5">
      <c r="A336" t="s">
        <v>729</v>
      </c>
      <c r="B336" t="s">
        <v>681</v>
      </c>
      <c r="C336" t="s">
        <v>322</v>
      </c>
      <c r="D336" t="s">
        <v>258</v>
      </c>
    </row>
    <row r="337" spans="1:5">
      <c r="A337" t="s">
        <v>730</v>
      </c>
      <c r="B337" t="s">
        <v>682</v>
      </c>
      <c r="C337" t="s">
        <v>262</v>
      </c>
      <c r="D337" t="s">
        <v>348</v>
      </c>
    </row>
    <row r="338" spans="1:5">
      <c r="A338" t="s">
        <v>731</v>
      </c>
      <c r="B338" t="s">
        <v>683</v>
      </c>
      <c r="C338" t="s">
        <v>322</v>
      </c>
      <c r="D338" t="s">
        <v>258</v>
      </c>
    </row>
    <row r="339" spans="1:5">
      <c r="A339" t="s">
        <v>732</v>
      </c>
      <c r="B339" t="s">
        <v>684</v>
      </c>
      <c r="C339" t="s">
        <v>322</v>
      </c>
      <c r="D339" t="s">
        <v>258</v>
      </c>
    </row>
    <row r="340" spans="1:5">
      <c r="A340" t="s">
        <v>733</v>
      </c>
      <c r="B340" t="s">
        <v>685</v>
      </c>
      <c r="C340" t="s">
        <v>322</v>
      </c>
      <c r="D340" t="s">
        <v>258</v>
      </c>
    </row>
    <row r="341" spans="1:5">
      <c r="A341" t="s">
        <v>734</v>
      </c>
      <c r="B341" t="s">
        <v>686</v>
      </c>
      <c r="C341" t="s">
        <v>766</v>
      </c>
      <c r="D341" t="s">
        <v>258</v>
      </c>
    </row>
    <row r="342" spans="1:5">
      <c r="A342" t="s">
        <v>735</v>
      </c>
      <c r="B342" t="s">
        <v>687</v>
      </c>
      <c r="C342" t="s">
        <v>766</v>
      </c>
      <c r="D342" t="s">
        <v>258</v>
      </c>
    </row>
    <row r="343" spans="1:5">
      <c r="A343" t="s">
        <v>736</v>
      </c>
      <c r="B343" t="s">
        <v>688</v>
      </c>
      <c r="C343" t="s">
        <v>766</v>
      </c>
      <c r="D343" t="s">
        <v>258</v>
      </c>
    </row>
    <row r="344" spans="1:5">
      <c r="A344" t="s">
        <v>737</v>
      </c>
      <c r="B344" t="s">
        <v>689</v>
      </c>
      <c r="C344" t="s">
        <v>322</v>
      </c>
      <c r="D344" t="s">
        <v>258</v>
      </c>
    </row>
    <row r="345" spans="1:5">
      <c r="A345" t="s">
        <v>738</v>
      </c>
      <c r="B345" t="s">
        <v>690</v>
      </c>
      <c r="C345" t="s">
        <v>322</v>
      </c>
      <c r="D345" t="s">
        <v>258</v>
      </c>
    </row>
    <row r="346" spans="1:5">
      <c r="A346" t="s">
        <v>739</v>
      </c>
      <c r="B346" t="s">
        <v>691</v>
      </c>
      <c r="C346" t="s">
        <v>322</v>
      </c>
      <c r="D346" t="s">
        <v>258</v>
      </c>
    </row>
    <row r="347" spans="1:5" ht="18.75">
      <c r="A347" s="50" t="s">
        <v>724</v>
      </c>
      <c r="B347" s="50"/>
      <c r="C347" s="50"/>
      <c r="D347" s="50"/>
      <c r="E347" s="50"/>
    </row>
    <row r="348" spans="1:5">
      <c r="A348" t="s">
        <v>779</v>
      </c>
      <c r="B348" t="s">
        <v>721</v>
      </c>
      <c r="C348" t="s">
        <v>261</v>
      </c>
      <c r="D348" t="s">
        <v>258</v>
      </c>
    </row>
    <row r="349" spans="1:5">
      <c r="A349" t="s">
        <v>740</v>
      </c>
      <c r="B349" t="s">
        <v>694</v>
      </c>
      <c r="C349" t="s">
        <v>322</v>
      </c>
      <c r="D349" t="s">
        <v>258</v>
      </c>
    </row>
    <row r="350" spans="1:5">
      <c r="A350" t="s">
        <v>741</v>
      </c>
      <c r="B350" t="s">
        <v>695</v>
      </c>
      <c r="C350" t="s">
        <v>322</v>
      </c>
      <c r="D350" t="s">
        <v>258</v>
      </c>
    </row>
    <row r="351" spans="1:5">
      <c r="A351" t="s">
        <v>742</v>
      </c>
      <c r="B351" t="s">
        <v>696</v>
      </c>
      <c r="C351" t="s">
        <v>322</v>
      </c>
      <c r="D351" t="s">
        <v>258</v>
      </c>
    </row>
    <row r="352" spans="1:5">
      <c r="A352" t="s">
        <v>743</v>
      </c>
      <c r="B352" t="s">
        <v>697</v>
      </c>
      <c r="C352" t="s">
        <v>322</v>
      </c>
      <c r="D352" t="s">
        <v>258</v>
      </c>
    </row>
    <row r="353" spans="1:4">
      <c r="A353" t="s">
        <v>744</v>
      </c>
      <c r="B353" t="s">
        <v>698</v>
      </c>
      <c r="C353" t="s">
        <v>322</v>
      </c>
      <c r="D353" t="s">
        <v>258</v>
      </c>
    </row>
    <row r="354" spans="1:4">
      <c r="A354" t="s">
        <v>745</v>
      </c>
      <c r="B354" t="s">
        <v>699</v>
      </c>
      <c r="C354" t="s">
        <v>322</v>
      </c>
      <c r="D354" t="s">
        <v>258</v>
      </c>
    </row>
    <row r="355" spans="1:4">
      <c r="A355" t="s">
        <v>746</v>
      </c>
      <c r="B355" t="s">
        <v>700</v>
      </c>
      <c r="C355" t="s">
        <v>322</v>
      </c>
      <c r="D355" t="s">
        <v>258</v>
      </c>
    </row>
    <row r="356" spans="1:4">
      <c r="A356" t="s">
        <v>747</v>
      </c>
      <c r="B356" t="s">
        <v>701</v>
      </c>
      <c r="C356" t="s">
        <v>322</v>
      </c>
      <c r="D356" t="s">
        <v>258</v>
      </c>
    </row>
    <row r="357" spans="1:4">
      <c r="A357" t="s">
        <v>748</v>
      </c>
      <c r="B357" t="s">
        <v>702</v>
      </c>
      <c r="C357" t="s">
        <v>262</v>
      </c>
      <c r="D357" t="s">
        <v>348</v>
      </c>
    </row>
    <row r="358" spans="1:4">
      <c r="A358" t="s">
        <v>749</v>
      </c>
      <c r="B358" t="s">
        <v>703</v>
      </c>
      <c r="C358" t="s">
        <v>766</v>
      </c>
      <c r="D358" t="s">
        <v>258</v>
      </c>
    </row>
    <row r="359" spans="1:4">
      <c r="A359" t="s">
        <v>750</v>
      </c>
      <c r="B359" t="s">
        <v>704</v>
      </c>
      <c r="C359" t="s">
        <v>261</v>
      </c>
      <c r="D359" t="s">
        <v>258</v>
      </c>
    </row>
    <row r="360" spans="1:4">
      <c r="A360" t="s">
        <v>751</v>
      </c>
      <c r="B360" t="s">
        <v>705</v>
      </c>
      <c r="C360" t="s">
        <v>261</v>
      </c>
      <c r="D360" t="s">
        <v>258</v>
      </c>
    </row>
    <row r="361" spans="1:4">
      <c r="A361" t="s">
        <v>752</v>
      </c>
      <c r="B361" t="s">
        <v>706</v>
      </c>
      <c r="C361" t="s">
        <v>766</v>
      </c>
      <c r="D361" t="s">
        <v>258</v>
      </c>
    </row>
    <row r="362" spans="1:4">
      <c r="A362" t="s">
        <v>753</v>
      </c>
      <c r="B362" t="s">
        <v>707</v>
      </c>
      <c r="C362" t="s">
        <v>261</v>
      </c>
      <c r="D362" t="s">
        <v>258</v>
      </c>
    </row>
    <row r="363" spans="1:4">
      <c r="A363" t="s">
        <v>754</v>
      </c>
      <c r="B363" t="s">
        <v>708</v>
      </c>
      <c r="C363" t="s">
        <v>261</v>
      </c>
      <c r="D363" t="s">
        <v>258</v>
      </c>
    </row>
    <row r="364" spans="1:4">
      <c r="A364" t="s">
        <v>755</v>
      </c>
      <c r="B364" t="s">
        <v>709</v>
      </c>
      <c r="C364" t="s">
        <v>766</v>
      </c>
      <c r="D364" t="s">
        <v>258</v>
      </c>
    </row>
    <row r="365" spans="1:4">
      <c r="A365" t="s">
        <v>756</v>
      </c>
      <c r="B365" t="s">
        <v>710</v>
      </c>
      <c r="C365" t="s">
        <v>766</v>
      </c>
      <c r="D365" t="s">
        <v>258</v>
      </c>
    </row>
    <row r="366" spans="1:4">
      <c r="A366" t="s">
        <v>757</v>
      </c>
      <c r="B366" t="s">
        <v>711</v>
      </c>
      <c r="C366" t="s">
        <v>766</v>
      </c>
      <c r="D366" t="s">
        <v>258</v>
      </c>
    </row>
    <row r="367" spans="1:4">
      <c r="A367" t="s">
        <v>758</v>
      </c>
      <c r="B367" t="s">
        <v>712</v>
      </c>
      <c r="C367" t="s">
        <v>322</v>
      </c>
      <c r="D367" t="s">
        <v>258</v>
      </c>
    </row>
    <row r="368" spans="1:4">
      <c r="A368" t="s">
        <v>759</v>
      </c>
      <c r="B368" t="s">
        <v>713</v>
      </c>
      <c r="C368" t="s">
        <v>322</v>
      </c>
      <c r="D368" t="s">
        <v>258</v>
      </c>
    </row>
    <row r="369" spans="1:4">
      <c r="A369" t="s">
        <v>760</v>
      </c>
      <c r="B369" t="s">
        <v>714</v>
      </c>
      <c r="C369" t="s">
        <v>322</v>
      </c>
      <c r="D369" t="s">
        <v>258</v>
      </c>
    </row>
    <row r="370" spans="1:4">
      <c r="A370" t="s">
        <v>761</v>
      </c>
      <c r="B370" t="s">
        <v>715</v>
      </c>
      <c r="C370" t="s">
        <v>322</v>
      </c>
      <c r="D370" t="s">
        <v>258</v>
      </c>
    </row>
    <row r="371" spans="1:4">
      <c r="A371" t="s">
        <v>762</v>
      </c>
      <c r="B371" t="s">
        <v>716</v>
      </c>
      <c r="C371" t="s">
        <v>322</v>
      </c>
      <c r="D371" t="s">
        <v>258</v>
      </c>
    </row>
    <row r="372" spans="1:4">
      <c r="A372" t="s">
        <v>763</v>
      </c>
      <c r="B372" t="s">
        <v>717</v>
      </c>
      <c r="C372" t="s">
        <v>322</v>
      </c>
      <c r="D372" t="s">
        <v>258</v>
      </c>
    </row>
    <row r="373" spans="1:4">
      <c r="A373" t="s">
        <v>764</v>
      </c>
      <c r="B373" t="s">
        <v>718</v>
      </c>
      <c r="C373" t="s">
        <v>322</v>
      </c>
      <c r="D373" t="s">
        <v>258</v>
      </c>
    </row>
    <row r="374" spans="1:4">
      <c r="A374" t="s">
        <v>765</v>
      </c>
      <c r="B374" t="s">
        <v>719</v>
      </c>
      <c r="C374" t="s">
        <v>322</v>
      </c>
      <c r="D374" t="s">
        <v>258</v>
      </c>
    </row>
  </sheetData>
  <autoFilter ref="A1:E329"/>
  <mergeCells count="1">
    <mergeCell ref="A2:E2"/>
  </mergeCells>
  <conditionalFormatting sqref="B1:B117 B119:B1048576">
    <cfRule type="duplicateValues" dxfId="63" priority="83"/>
    <cfRule type="duplicateValues" dxfId="62" priority="84"/>
  </conditionalFormatting>
  <conditionalFormatting sqref="A49:A51">
    <cfRule type="duplicateValues" dxfId="61" priority="77"/>
    <cfRule type="duplicateValues" dxfId="60" priority="78"/>
  </conditionalFormatting>
  <conditionalFormatting sqref="B49:B51">
    <cfRule type="duplicateValues" dxfId="59" priority="79"/>
    <cfRule type="duplicateValues" dxfId="58" priority="80"/>
  </conditionalFormatting>
  <conditionalFormatting sqref="B60:B62">
    <cfRule type="duplicateValues" dxfId="57" priority="85"/>
    <cfRule type="duplicateValues" dxfId="56" priority="85"/>
  </conditionalFormatting>
  <conditionalFormatting sqref="B72:B75">
    <cfRule type="duplicateValues" dxfId="55" priority="75"/>
    <cfRule type="duplicateValues" dxfId="54" priority="76"/>
  </conditionalFormatting>
  <conditionalFormatting sqref="B92:B94">
    <cfRule type="duplicateValues" dxfId="53" priority="73"/>
    <cfRule type="duplicateValues" dxfId="52" priority="74"/>
  </conditionalFormatting>
  <conditionalFormatting sqref="A92">
    <cfRule type="duplicateValues" dxfId="51" priority="71"/>
    <cfRule type="duplicateValues" dxfId="50" priority="72"/>
  </conditionalFormatting>
  <conditionalFormatting sqref="A93:A94">
    <cfRule type="duplicateValues" dxfId="49" priority="67"/>
    <cfRule type="duplicateValues" dxfId="48" priority="68"/>
  </conditionalFormatting>
  <conditionalFormatting sqref="A105:B107">
    <cfRule type="duplicateValues" dxfId="47" priority="63"/>
    <cfRule type="duplicateValues" dxfId="46" priority="64"/>
  </conditionalFormatting>
  <conditionalFormatting sqref="B150">
    <cfRule type="duplicateValues" dxfId="45" priority="55"/>
    <cfRule type="duplicateValues" dxfId="44" priority="56"/>
  </conditionalFormatting>
  <conditionalFormatting sqref="B155">
    <cfRule type="duplicateValues" dxfId="43" priority="53"/>
    <cfRule type="duplicateValues" dxfId="42" priority="54"/>
  </conditionalFormatting>
  <conditionalFormatting sqref="A159:A163">
    <cfRule type="duplicateValues" dxfId="41" priority="51"/>
    <cfRule type="duplicateValues" dxfId="40" priority="52"/>
  </conditionalFormatting>
  <conditionalFormatting sqref="B159:B163">
    <cfRule type="duplicateValues" dxfId="39" priority="47"/>
    <cfRule type="duplicateValues" dxfId="38" priority="48"/>
  </conditionalFormatting>
  <conditionalFormatting sqref="B177">
    <cfRule type="duplicateValues" dxfId="37" priority="45"/>
    <cfRule type="duplicateValues" dxfId="36" priority="46"/>
  </conditionalFormatting>
  <conditionalFormatting sqref="B190">
    <cfRule type="duplicateValues" dxfId="35" priority="43"/>
    <cfRule type="duplicateValues" dxfId="34" priority="44"/>
  </conditionalFormatting>
  <conditionalFormatting sqref="A199:A207">
    <cfRule type="duplicateValues" dxfId="33" priority="41"/>
    <cfRule type="duplicateValues" dxfId="32" priority="42"/>
  </conditionalFormatting>
  <conditionalFormatting sqref="B199:B207">
    <cfRule type="duplicateValues" dxfId="31" priority="37"/>
    <cfRule type="duplicateValues" dxfId="30" priority="38"/>
  </conditionalFormatting>
  <conditionalFormatting sqref="B214:B215">
    <cfRule type="duplicateValues" dxfId="29" priority="35"/>
    <cfRule type="duplicateValues" dxfId="28" priority="36"/>
  </conditionalFormatting>
  <conditionalFormatting sqref="A214:A215">
    <cfRule type="duplicateValues" dxfId="27" priority="33"/>
    <cfRule type="duplicateValues" dxfId="26" priority="34"/>
  </conditionalFormatting>
  <conditionalFormatting sqref="B221:B224">
    <cfRule type="duplicateValues" dxfId="25" priority="29"/>
    <cfRule type="duplicateValues" dxfId="24" priority="30"/>
  </conditionalFormatting>
  <conditionalFormatting sqref="A221:A224">
    <cfRule type="duplicateValues" dxfId="23" priority="27"/>
    <cfRule type="duplicateValues" dxfId="22" priority="28"/>
  </conditionalFormatting>
  <conditionalFormatting sqref="B250">
    <cfRule type="duplicateValues" dxfId="21" priority="23"/>
    <cfRule type="duplicateValues" dxfId="20" priority="24"/>
  </conditionalFormatting>
  <conditionalFormatting sqref="B257:B260">
    <cfRule type="duplicateValues" dxfId="19" priority="21"/>
    <cfRule type="duplicateValues" dxfId="18" priority="22"/>
  </conditionalFormatting>
  <conditionalFormatting sqref="B264:B266">
    <cfRule type="duplicateValues" dxfId="17" priority="19"/>
    <cfRule type="duplicateValues" dxfId="16" priority="20"/>
  </conditionalFormatting>
  <conditionalFormatting sqref="B281">
    <cfRule type="duplicateValues" dxfId="15" priority="17"/>
    <cfRule type="duplicateValues" dxfId="14" priority="18"/>
  </conditionalFormatting>
  <conditionalFormatting sqref="B285">
    <cfRule type="duplicateValues" dxfId="13" priority="15"/>
    <cfRule type="duplicateValues" dxfId="12" priority="16"/>
  </conditionalFormatting>
  <conditionalFormatting sqref="B288:B290">
    <cfRule type="duplicateValues" dxfId="11" priority="13"/>
    <cfRule type="duplicateValues" dxfId="10" priority="14"/>
  </conditionalFormatting>
  <conditionalFormatting sqref="B299:B302">
    <cfRule type="duplicateValues" dxfId="9" priority="11"/>
    <cfRule type="duplicateValues" dxfId="8" priority="12"/>
  </conditionalFormatting>
  <conditionalFormatting sqref="A299:A302">
    <cfRule type="duplicateValues" dxfId="7" priority="9"/>
    <cfRule type="duplicateValues" dxfId="6" priority="10"/>
  </conditionalFormatting>
  <conditionalFormatting sqref="B321:B327">
    <cfRule type="duplicateValues" dxfId="5" priority="5"/>
    <cfRule type="duplicateValues" dxfId="4" priority="6"/>
  </conditionalFormatting>
  <conditionalFormatting sqref="A120:A133">
    <cfRule type="duplicateValues" dxfId="3" priority="107"/>
    <cfRule type="duplicateValues" dxfId="2" priority="108"/>
  </conditionalFormatting>
  <conditionalFormatting sqref="B120:B133">
    <cfRule type="duplicateValues" dxfId="1" priority="111"/>
    <cfRule type="duplicateValues" dxfId="0" priority="112"/>
  </conditionalFormatting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General Info</vt:lpstr>
      <vt:lpstr>Statement of Net Position</vt:lpstr>
      <vt:lpstr>Statement of Activities</vt:lpstr>
      <vt:lpstr>Governmental Fund Balance Sheet</vt:lpstr>
      <vt:lpstr>Gov Fund St of Rev Exp &amp; Bal</vt:lpstr>
      <vt:lpstr>Prop Fund St of Net Position</vt:lpstr>
      <vt:lpstr>Prop Fund St Rev Exp &amp; Bal</vt:lpstr>
      <vt:lpstr>St of Cash Flow - Prop Funds</vt:lpstr>
      <vt:lpstr>OPEB Tempate V1</vt:lpstr>
      <vt:lpstr>Pension Template V1</vt:lpstr>
      <vt:lpstr>Taxonomy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Microvista tech</dc:creator>
  <cp:lastModifiedBy>MVPL L-2</cp:lastModifiedBy>
  <dcterms:created xsi:type="dcterms:W3CDTF">2017-11-21T10:45:50Z</dcterms:created>
  <dcterms:modified xsi:type="dcterms:W3CDTF">2018-01-02T09:03:33Z</dcterms:modified>
</cp:coreProperties>
</file>